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366bf980e24f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770157688364e2f"/>
    <x:sheet xmlns:r="http://schemas.openxmlformats.org/officeDocument/2006/relationships" name="Dashboard" sheetId="2" r:id="R111bcdf77aa14562"/>
    <x:sheet xmlns:r="http://schemas.openxmlformats.org/officeDocument/2006/relationships" name="Histórico" sheetId="3" r:id="Rf43577f5ce73473d"/>
    <x:sheet xmlns:r="http://schemas.openxmlformats.org/officeDocument/2006/relationships" name="Pronósticos" sheetId="4" r:id="R75f8d1a86bee473f"/>
    <x:sheet xmlns:r="http://schemas.openxmlformats.org/officeDocument/2006/relationships" name="Errores" sheetId="5" r:id="Rf99d526d934c48cb"/>
    <x:sheet xmlns:r="http://schemas.openxmlformats.org/officeDocument/2006/relationships" name="Resumen" sheetId="6" r:id="Rf39b49a406314494"/>
    <x:sheet xmlns:r="http://schemas.openxmlformats.org/officeDocument/2006/relationships" name="Fuentes" sheetId="7" r:id="Rd7dddd42df3f49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"/>
    <x:numFmt numFmtId="202" formatCode="0.0"/>
  </x:numFmts>
  <x:fonts count="13">
    <x:font>
      <x:sz val="11"/>
      <x:name val="Carlito"/>
    </x:font>
    <x:font>
      <x:b/>
      <x:sz val="20"/>
      <x:color rgb="FFFFFFFF"/>
      <x:name val="Carlito"/>
    </x:font>
    <x:font>
      <x:i/>
      <x:sz val="10"/>
      <x:color rgb="FF3F5264"/>
      <x:name val="Carlito"/>
    </x:font>
    <x:font>
      <x:b/>
      <x:sz val="11"/>
      <x:color rgb="FFFFFFFF"/>
      <x:name val="Carlito"/>
    </x:font>
    <x:font>
      <x:sz val="11"/>
      <x:color rgb="FF3F5264"/>
      <x:name val="Carlito"/>
    </x:font>
    <x:font>
      <x:b/>
      <x:sz val="20"/>
      <x:color rgb="FFFFFFFF"/>
      <x:name val="Aptos"/>
    </x:font>
    <x:font>
      <x:i/>
      <x:sz val="10"/>
      <x:color rgb="FF3F5264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3F5264"/>
      <x:name val="Aptos"/>
    </x:font>
    <x:font>
      <x:b/>
      <x:sz val="20"/>
      <x:color rgb="FFFFFFFF"/>
      <x:name val="Aptos Display"/>
    </x:font>
    <x:font>
      <x:b/>
      <x:sz val="11"/>
      <x:color rgb="FF3F5264"/>
      <x:name val="Carlito"/>
    </x:font>
    <x:font>
      <x:b/>
      <x:sz val="22"/>
      <x:color rgb="FF0B253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3A"/>
      </x:patternFill>
    </x:fill>
    <x:fill>
      <x:patternFill patternType="solid">
        <x:fgColor rgb="FFEAF3F8"/>
      </x:patternFill>
    </x:fill>
    <x:fill>
      <x:patternFill patternType="solid">
        <x:fgColor rgb="FF175D8D"/>
      </x:patternFill>
    </x:fill>
    <x:fill>
      <x:patternFill patternType="solid">
        <x:fgColor rgb="FF0F766E"/>
      </x:patternFill>
    </x:fill>
    <x:fill>
      <x:patternFill patternType="solid">
        <x:fgColor rgb="FFA65F00"/>
      </x:patternFill>
    </x:fill>
    <x:fill>
      <x:patternFill patternType="solid">
        <x:fgColor rgb="FFFFF4DC"/>
      </x:patternFill>
    </x:fill>
    <x:fill>
      <x:patternFill patternType="solid">
        <x:fgColor rgb="FFFFFFFF"/>
      </x:patternFill>
    </x:fill>
  </x:fills>
  <x:borders count="4">
    <x:border/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4" borderId="1" xfId="0" applyNumberFormat="1" applyFont="1" applyFill="1" applyBorder="1" applyAlignment="1">
      <x:alignment vertical="center"/>
    </x:xf>
    <x:xf numFmtId="0" fontId="8" fillId="4" borderId="2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/>
    <x:xf numFmtId="0" fontId="8" fillId="4" borderId="3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/>
    <x:xf numFmtId="0" fontId="9" fillId="7" borderId="0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202" fontId="12" fillId="8" borderId="0" xfId="0" applyNumberFormat="1" applyFont="1" applyFill="1" applyBorder="1"/>
    <x:xf numFmtId="202" fontId="12" fillId="8" borderId="0" xfId="0" applyNumberFormat="1" applyFont="1" applyFill="1" applyBorder="1" applyAlignment="1">
      <x:alignment horizontal="center"/>
    </x:xf>
    <x:xf numFmtId="202" fontId="12" fillId="8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65f8e862f949a8" /><Relationship Type="http://schemas.openxmlformats.org/officeDocument/2006/relationships/theme" Target="/xl/theme/theme1.xml" Id="Rf4efa88e6f2e4623" /><Relationship Type="http://schemas.openxmlformats.org/officeDocument/2006/relationships/sharedStrings" Target="/xl/sharedStrings.xml" Id="R6945c20bc1514403" /><Relationship Type="http://schemas.openxmlformats.org/officeDocument/2006/relationships/worksheet" Target="/xl/worksheets/sheet1.xml" Id="R6770157688364e2f" /><Relationship Type="http://schemas.openxmlformats.org/officeDocument/2006/relationships/worksheet" Target="/xl/worksheets/sheet2.xml" Id="R111bcdf77aa14562" /><Relationship Type="http://schemas.openxmlformats.org/officeDocument/2006/relationships/worksheet" Target="/xl/worksheets/sheet3.xml" Id="Rf43577f5ce73473d" /><Relationship Type="http://schemas.openxmlformats.org/officeDocument/2006/relationships/worksheet" Target="/xl/worksheets/sheet4.xml" Id="R75f8d1a86bee473f" /><Relationship Type="http://schemas.openxmlformats.org/officeDocument/2006/relationships/worksheet" Target="/xl/worksheets/sheet5.xml" Id="Rf99d526d934c48cb" /><Relationship Type="http://schemas.openxmlformats.org/officeDocument/2006/relationships/worksheet" Target="/xl/worksheets/sheet6.xml" Id="Rf39b49a406314494" /><Relationship Type="http://schemas.openxmlformats.org/officeDocument/2006/relationships/worksheet" Target="/xl/worksheets/sheet7.xml" Id="Rd7dddd42df3f49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9c47e9cb4649ed" /><Relationship Type="http://schemas.openxmlformats.org/officeDocument/2006/relationships/chart" Target="/xl/drawings/charts/chart2.xml" Id="R9f657a49b578431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PIB real: historia revisada (%)</a:t>
            </a:r>
          </a:p>
        </c:rich>
      </c:tx>
    </c:title>
    <c:plotArea>
      <c:lineChart>
        <c:grouping val="standard"/>
        <c:ser>
          <c:idx val="0"/>
          <c:order val="0"/>
          <c:tx>
            <c:v>Histórico / estimado</c:v>
          </c:tx>
          <c:spPr>
            <a:solidFill xmlns:a="http://schemas.openxmlformats.org/drawingml/2006/main">
              <a:srgbClr val="0B253A"/>
            </a:solidFill>
          </c:spPr>
          <c:marker>
            <c:symbol val="none"/>
          </c:marker>
          <c:cat>
            <c:strRef>
              <c:f>'Dashboard'!$B$8:$H$8</c:f>
              <c:strCache>
                <c:ptCount val="0"/>
              </c:strCache>
            </c:strRef>
          </c:cat>
          <c:val>
            <c:numRef>
              <c:f>'Dashboard'!$B$9:$H$9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PIB real: horizonte comparable 2026-2029 (%)</a:t>
            </a:r>
          </a:p>
        </c:rich>
      </c:tx>
    </c:title>
    <c:plotArea>
      <c:lineChart>
        <c:grouping val="standard"/>
        <c:ser>
          <c:idx val="0"/>
          <c:order val="0"/>
          <c:tx>
            <c:v>Dic-2024</c:v>
          </c:tx>
          <c:spPr>
            <a:solidFill xmlns:a="http://schemas.openxmlformats.org/drawingml/2006/main">
              <a:srgbClr val="7C3AED"/>
            </a:solidFill>
          </c:spPr>
          <c:marker>
            <c:symbol val="none"/>
          </c:marker>
          <c:cat>
            <c:strRef>
              <c:f>'Dashboard'!$I$8:$L$8</c:f>
              <c:strCache>
                <c:ptCount val="0"/>
              </c:strCache>
            </c:strRef>
          </c:cat>
          <c:val>
            <c:numRef>
              <c:f>'Dashboard'!$I$10:$L$10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Dic-2025</c:v>
          </c:tx>
          <c:spPr>
            <a:solidFill xmlns:a="http://schemas.openxmlformats.org/drawingml/2006/main">
              <a:srgbClr val="92400E"/>
            </a:solidFill>
          </c:spPr>
          <c:marker>
            <c:symbol val="none"/>
          </c:marker>
          <c:cat>
            <c:strRef>
              <c:f>'Dashboard'!$I$8:$L$8</c:f>
              <c:strCache>
                <c:ptCount val="0"/>
              </c:strCache>
            </c:strRef>
          </c:cat>
          <c:val>
            <c:numRef>
              <c:f>'Dashboard'!$I$11:$L$11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Abr-2026</c:v>
          </c:tx>
          <c:spPr>
            <a:solidFill xmlns:a="http://schemas.openxmlformats.org/drawingml/2006/main">
              <a:srgbClr val="0D9488"/>
            </a:solidFill>
          </c:spPr>
          <c:marker>
            <c:symbol val="none"/>
          </c:marker>
          <c:cat>
            <c:strRef>
              <c:f>'Dashboard'!$I$8:$L$8</c:f>
              <c:strCache>
                <c:ptCount val="0"/>
              </c:strCache>
            </c:strRef>
          </c:cat>
          <c:val>
            <c:numRef>
              <c:f>'Dashboard'!$I$12:$L$12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7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9c47e9cb4649ed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657a49b578431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istoricoTabla" displayName="HistoricoTabla" ref="A4:F100" headerRowCount="1" totalsRowCount="0" totalsRowShown="0">
  <x:tableColumns count="6">
    <x:tableColumn id="1" name="Variable"/>
    <x:tableColumn id="2" name="Año"/>
    <x:tableColumn id="3" name="Valor"/>
    <x:tableColumn id="4" name="Unidad"/>
    <x:tableColumn id="5" name="Vintage fuente"/>
    <x:tableColumn id="6" name="E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nosticosTabla" displayName="PronosticosTabla" ref="A4:G332" headerRowCount="1" totalsRowCount="0" totalsRowShown="0">
  <x:tableColumns count="7">
    <x:tableColumn id="1" name="Vintage"/>
    <x:tableColumn id="2" name="Variable"/>
    <x:tableColumn id="3" name="Año"/>
    <x:tableColumn id="4" name="Pronóstico"/>
    <x:tableColumn id="5" name="Unidad"/>
    <x:tableColumn id="6" name="Inicio proyección"/>
    <x:tableColumn id="7" name="Country Repor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rroresTabla" displayName="ErroresTabla" ref="A4:H188" headerRowCount="1" totalsRowCount="0" totalsRowShown="0">
  <x:tableColumns count="8">
    <x:tableColumn id="1" name="Vintage"/>
    <x:tableColumn id="2" name="Variable"/>
    <x:tableColumn id="3" name="Año"/>
    <x:tableColumn id="4" name="Pronóstico"/>
    <x:tableColumn id="5" name="Histórico/estimado"/>
    <x:tableColumn id="6" name="Error"/>
    <x:tableColumn id="7" name="Error absoluto"/>
    <x:tableColumn id="8" name="Error²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umenTabla" displayName="ResumenTabla" ref="A4:G60" headerRowCount="1" totalsRowCount="0" totalsRowShown="0">
  <x:tableColumns count="7">
    <x:tableColumn id="1" name="Vintage"/>
    <x:tableColumn id="2" name="Variable"/>
    <x:tableColumn id="3" name="N"/>
    <x:tableColumn id="4" name="MAE"/>
    <x:tableColumn id="5" name="RMSE"/>
    <x:tableColumn id="6" name="Sesgo"/>
    <x:tableColumn id="7" name="Unida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uentesTabla" displayName="FuentesTabla" ref="A4:G11" headerRowCount="1" totalsRowCount="0" totalsRowShown="0">
  <x:tableColumns count="7">
    <x:tableColumn id="1" name="Vintage"/>
    <x:tableColumn id="2" name="Country Report"/>
    <x:tableColumn id="3" name="Fecha"/>
    <x:tableColumn id="4" name="Archivo"/>
    <x:tableColumn id="5" name="SHA-256"/>
    <x:tableColumn id="6" name="Años históricos/estimados"/>
    <x:tableColumn id="7" name="Página Table 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6e80fe7f31242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99fc8adf5c24a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7a6ea4ed5c044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b29ce75c4a64e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671260e8fa446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3f287dbe57445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32" t="str">
        <x:v>Ecuador: Pronósticos del FMI frente a la historia revisada</x:v>
      </x:c>
      <x:c r="B1" s="32"/>
      <x:c r="C1" s="32"/>
      <x:c r="D1" s="32"/>
      <x:c r="E1" s="32"/>
      <x:c r="F1" s="32"/>
      <x:c r="G1" s="32"/>
      <x:c r="H1" s="32"/>
    </x:row>
    <x:row r="2" ht="24" customHeight="1">
      <x:c r="A2" s="24" t="str">
        <x:v>Guía operativa y diccionario del libro</x:v>
      </x:c>
      <x:c r="B2" s="24"/>
      <x:c r="C2" s="24"/>
      <x:c r="D2" s="24"/>
      <x:c r="E2" s="24"/>
      <x:c r="F2" s="24"/>
      <x:c r="G2" s="24"/>
      <x:c r="H2" s="24"/>
    </x:row>
    <x:row r="3">
      <x:c r="A3" s="25"/>
      <x:c r="B3" s="25"/>
      <x:c r="C3" s="25"/>
      <x:c r="D3" s="25"/>
      <x:c r="E3" s="25"/>
      <x:c r="F3" s="25"/>
      <x:c r="G3" s="25"/>
      <x:c r="H3" s="25"/>
    </x:row>
    <x:row r="4" ht="22" customHeight="1">
      <x:c r="A4" s="26" t="str">
        <x:v>Campo</x:v>
      </x:c>
      <x:c r="B4" s="27" t="str">
        <x:v>Valor</x:v>
      </x:c>
      <x:c r="C4" s="25"/>
      <x:c r="D4" s="25"/>
      <x:c r="E4" s="25"/>
      <x:c r="F4" s="25"/>
      <x:c r="G4" s="25"/>
      <x:c r="H4" s="25"/>
    </x:row>
    <x:row r="5">
      <x:c r="A5" s="25" t="str">
        <x:v>Fuente canónica</x:v>
      </x:c>
      <x:c r="B5" s="25" t="str">
        <x:v>forecasts.json</x:v>
      </x:c>
      <x:c r="C5" s="25"/>
      <x:c r="D5" s="25"/>
      <x:c r="E5" s="25"/>
      <x:c r="F5" s="25"/>
      <x:c r="G5" s="25"/>
      <x:c r="H5" s="25"/>
    </x:row>
    <x:row r="6">
      <x:c r="A6" s="25" t="str">
        <x:v>Último informe</x:v>
      </x:c>
      <x:c r="B6" s="25" t="str">
        <x:v>IMF Country Report No. 26/84</x:v>
      </x:c>
      <x:c r="C6" s="25"/>
      <x:c r="D6" s="25"/>
      <x:c r="E6" s="25"/>
      <x:c r="F6" s="25"/>
      <x:c r="G6" s="25"/>
      <x:c r="H6" s="25"/>
    </x:row>
    <x:row r="7">
      <x:c r="A7" s="25" t="str">
        <x:v>Último vintage</x:v>
      </x:c>
      <x:c r="B7" s="25" t="str">
        <x:v>Abr-2026</x:v>
      </x:c>
      <x:c r="C7" s="25"/>
      <x:c r="D7" s="25"/>
      <x:c r="E7" s="25"/>
      <x:c r="F7" s="25"/>
      <x:c r="G7" s="25"/>
      <x:c r="H7" s="25"/>
    </x:row>
    <x:row r="8">
      <x:c r="A8" s="25" t="str">
        <x:v>Histórico/estimado</x:v>
      </x:c>
      <x:c r="B8" s="25" t="str">
        <x:v>2014-2025</x:v>
      </x:c>
      <x:c r="C8" s="25"/>
      <x:c r="D8" s="25"/>
      <x:c r="E8" s="25"/>
      <x:c r="F8" s="25"/>
      <x:c r="G8" s="25"/>
      <x:c r="H8" s="25"/>
    </x:row>
    <x:row r="9">
      <x:c r="A9" s="25" t="str">
        <x:v>Horizonte</x:v>
      </x:c>
      <x:c r="B9" s="25" t="str">
        <x:v>Hasta 2031</x:v>
      </x:c>
      <x:c r="C9" s="25"/>
      <x:c r="D9" s="25"/>
      <x:c r="E9" s="25"/>
      <x:c r="F9" s="25"/>
      <x:c r="G9" s="25"/>
      <x:c r="H9" s="25"/>
    </x:row>
    <x:row r="10">
      <x:c r="A10" s="25" t="str">
        <x:v>Variables</x:v>
      </x:c>
      <x:c r="B10" s="25" t="n">
        <x:v>8</x:v>
      </x:c>
      <x:c r="C10" s="25"/>
      <x:c r="D10" s="25"/>
      <x:c r="E10" s="25"/>
      <x:c r="F10" s="25"/>
      <x:c r="G10" s="25"/>
      <x:c r="H10" s="25"/>
    </x:row>
    <x:row r="11">
      <x:c r="A11" s="25" t="str">
        <x:v>Vintages</x:v>
      </x:c>
      <x:c r="B11" s="25" t="n">
        <x:v>7</x:v>
      </x:c>
      <x:c r="C11" s="25"/>
      <x:c r="D11" s="25"/>
      <x:c r="E11" s="25"/>
      <x:c r="F11" s="25"/>
      <x:c r="G11" s="25"/>
      <x:c r="H11" s="25"/>
    </x:row>
    <x:row r="12">
      <x:c r="A12" s="25" t="str">
        <x:v>Definición</x:v>
      </x:c>
      <x:c r="B12" s="25" t="str">
        <x:v>Para cada año se usa la estimación histórica más reciente disponible en los Staff Reports seleccionados. Estas cifras pueden revisarse en informes posteriores y no deben interpretarse como observaciones definitivas.</x:v>
      </x:c>
      <x:c r="C12" s="25"/>
      <x:c r="D12" s="25"/>
      <x:c r="E12" s="25"/>
      <x:c r="F12" s="25"/>
      <x:c r="G12" s="25"/>
      <x:c r="H12" s="25"/>
    </x:row>
    <x:row r="13">
      <x:c r="A13" s="25"/>
      <x:c r="B13" s="25"/>
      <x:c r="C13" s="25"/>
      <x:c r="D13" s="25"/>
      <x:c r="E13" s="25"/>
      <x:c r="F13" s="25"/>
      <x:c r="G13" s="25"/>
      <x:c r="H13" s="25"/>
    </x:row>
    <x:row r="14">
      <x:c r="A14" s="28" t="str">
        <x:v>Estructura</x:v>
      </x:c>
      <x:c r="B14" s="28"/>
      <x:c r="C14" s="28"/>
      <x:c r="D14" s="28"/>
      <x:c r="E14" s="28"/>
      <x:c r="F14" s="28"/>
      <x:c r="G14" s="28"/>
      <x:c r="H14" s="28"/>
    </x:row>
    <x:row r="15" ht="22" customHeight="1">
      <x:c r="A15" s="26" t="str">
        <x:v>Hoja</x:v>
      </x:c>
      <x:c r="B15" s="29" t="str">
        <x:v>Propósito</x:v>
      </x:c>
      <x:c r="C15" s="27" t="str">
        <x:v>Tipo</x:v>
      </x:c>
      <x:c r="D15" s="25"/>
      <x:c r="E15" s="25"/>
      <x:c r="F15" s="25"/>
      <x:c r="G15" s="25"/>
      <x:c r="H15" s="25"/>
    </x:row>
    <x:row r="16">
      <x:c r="A16" s="25" t="str">
        <x:v>Dashboard</x:v>
      </x:c>
      <x:c r="B16" s="25" t="str">
        <x:v>Vista ejecutiva del PIB real y revisiones recientes</x:v>
      </x:c>
      <x:c r="C16" s="25" t="str">
        <x:v>Presentación</x:v>
      </x:c>
      <x:c r="D16" s="25"/>
      <x:c r="E16" s="25"/>
      <x:c r="F16" s="25"/>
      <x:c r="G16" s="25"/>
      <x:c r="H16" s="25"/>
    </x:row>
    <x:row r="17">
      <x:c r="A17" s="25" t="str">
        <x:v>Histórico</x:v>
      </x:c>
      <x:c r="B17" s="25" t="str">
        <x:v>Una fila por variable-año con vintage fuente</x:v>
      </x:c>
      <x:c r="C17" s="25" t="str">
        <x:v>Datos planos</x:v>
      </x:c>
      <x:c r="D17" s="25"/>
      <x:c r="E17" s="25"/>
      <x:c r="F17" s="25"/>
      <x:c r="G17" s="25"/>
      <x:c r="H17" s="25"/>
    </x:row>
    <x:row r="18">
      <x:c r="A18" s="25" t="str">
        <x:v>Pronósticos</x:v>
      </x:c>
      <x:c r="B18" s="25" t="str">
        <x:v>Una fila por vintage-variable-año</x:v>
      </x:c>
      <x:c r="C18" s="25" t="str">
        <x:v>Datos planos</x:v>
      </x:c>
      <x:c r="D18" s="25"/>
      <x:c r="E18" s="25"/>
      <x:c r="F18" s="25"/>
      <x:c r="G18" s="25"/>
      <x:c r="H18" s="25"/>
    </x:row>
    <x:row r="19">
      <x:c r="A19" s="25" t="str">
        <x:v>Errores</x:v>
      </x:c>
      <x:c r="B19" s="25" t="str">
        <x:v>Pronóstico vs histórico con cálculos auditables</x:v>
      </x:c>
      <x:c r="C19" s="25" t="str">
        <x:v>Fórmulas</x:v>
      </x:c>
      <x:c r="D19" s="25"/>
      <x:c r="E19" s="25"/>
      <x:c r="F19" s="25"/>
      <x:c r="G19" s="25"/>
      <x:c r="H19" s="25"/>
    </x:row>
    <x:row r="20">
      <x:c r="A20" s="25" t="str">
        <x:v>Resumen</x:v>
      </x:c>
      <x:c r="B20" s="25" t="str">
        <x:v>N, MAE, RMSE y sesgo por vintage-variable</x:v>
      </x:c>
      <x:c r="C20" s="25" t="str">
        <x:v>Fórmulas</x:v>
      </x:c>
      <x:c r="D20" s="25"/>
      <x:c r="E20" s="25"/>
      <x:c r="F20" s="25"/>
      <x:c r="G20" s="25"/>
      <x:c r="H20" s="25"/>
    </x:row>
    <x:row r="21">
      <x:c r="A21" s="25" t="str">
        <x:v>Fuentes</x:v>
      </x:c>
      <x:c r="B21" s="25" t="str">
        <x:v>Country Reports y hashes SHA-256</x:v>
      </x:c>
      <x:c r="C21" s="25" t="str">
        <x:v>Proveniencia</x:v>
      </x:c>
      <x:c r="D21" s="25"/>
      <x:c r="E21" s="25"/>
      <x:c r="F21" s="25"/>
      <x:c r="G21" s="25"/>
      <x:c r="H21" s="25"/>
    </x:row>
    <x:row r="22">
      <x:c r="A22" s="25"/>
      <x:c r="B22" s="25"/>
      <x:c r="C22" s="25"/>
      <x:c r="D22" s="25"/>
      <x:c r="E22" s="25"/>
      <x:c r="F22" s="25"/>
      <x:c r="G22" s="25"/>
      <x:c r="H22" s="25"/>
    </x:row>
    <x:row r="23">
      <x:c r="A23" s="30" t="str">
        <x:v>Regla metodológica clave</x:v>
      </x:c>
      <x:c r="B23" s="30"/>
      <x:c r="C23" s="30"/>
      <x:c r="D23" s="30"/>
      <x:c r="E23" s="30"/>
      <x:c r="F23" s="30"/>
      <x:c r="G23" s="30"/>
      <x:c r="H23" s="30"/>
    </x:row>
    <x:row r="24">
      <x:c r="A24" s="31" t="str">
        <x:v>Cuando una Table 1 presenta una columna comparativa de un Country Report anterior y una columna corriente, la serie histórica/estimada usa la columna corriente. La columna anterior permanece únicamente como vintage de pronóstico.</x:v>
      </x:c>
      <x:c r="B24" s="31"/>
      <x:c r="C24" s="31"/>
      <x:c r="D24" s="31"/>
      <x:c r="E24" s="31"/>
      <x:c r="F24" s="31"/>
      <x:c r="G24" s="31"/>
      <x:c r="H24" s="31"/>
    </x:row>
    <x:row r="25">
      <x:c r="A25" s="31"/>
      <x:c r="B25" s="31"/>
      <x:c r="C25" s="31"/>
      <x:c r="D25" s="31"/>
      <x:c r="E25" s="31"/>
      <x:c r="F25" s="31"/>
      <x:c r="G25" s="31"/>
      <x:c r="H25" s="31"/>
    </x:row>
    <x:row r="26">
      <x:c r="A26" s="31"/>
      <x:c r="B26" s="31"/>
      <x:c r="C26" s="31"/>
      <x:c r="D26" s="31"/>
      <x:c r="E26" s="31"/>
      <x:c r="F26" s="31"/>
      <x:c r="G26" s="31"/>
      <x:c r="H26" s="31"/>
    </x:row>
    <x:row r="27">
      <x:c r="A27" s="25"/>
      <x:c r="B27" s="25"/>
      <x:c r="C27" s="25"/>
      <x:c r="D27" s="25"/>
      <x:c r="E27" s="25"/>
      <x:c r="F27" s="25"/>
      <x:c r="G27" s="25"/>
      <x:c r="H27" s="25"/>
    </x:row>
    <x:row r="28">
      <x:c r="A28" s="25"/>
      <x:c r="B28" s="25"/>
      <x:c r="C28" s="25"/>
      <x:c r="D28" s="25"/>
      <x:c r="E28" s="25"/>
      <x:c r="F28" s="25"/>
      <x:c r="G28" s="25"/>
      <x:c r="H28" s="25"/>
    </x:row>
    <x:row r="29">
      <x:c r="A29" s="25"/>
      <x:c r="B29" s="25"/>
      <x:c r="C29" s="25"/>
      <x:c r="D29" s="25"/>
      <x:c r="E29" s="25"/>
      <x:c r="F29" s="25"/>
      <x:c r="G29" s="25"/>
      <x:c r="H29" s="25"/>
    </x:row>
    <x:row r="30">
      <x:c r="A30" s="25"/>
      <x:c r="B30" s="25"/>
      <x:c r="C30" s="25"/>
      <x:c r="D30" s="25"/>
      <x:c r="E30" s="25"/>
      <x:c r="F30" s="25"/>
      <x:c r="G30" s="25"/>
      <x:c r="H30" s="25"/>
    </x:row>
  </x:sheetData>
  <x:mergeCells>
    <x:mergeCell ref="A1:H1"/>
    <x:mergeCell ref="A2:H2"/>
    <x:mergeCell ref="A14:H14"/>
    <x:mergeCell ref="A23:H23"/>
    <x:mergeCell ref="A24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4" customHeight="1">
      <x:c r="A1" s="3" t="str">
        <x:v>Dashboard: PIB real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6" t="str">
        <x:v>Historia revisada y vintages recientes; las celdas del gráfico enlazan a las tablas planas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>
      <x:c r="A4" s="36" t="str">
        <x:v>Último histórico/estimado</x:v>
      </x:c>
      <x:c r="B4" s="36"/>
      <x:c r="D4" s="36" t="str">
        <x:v>Pronóstico 2026 - Abr-2026</x:v>
      </x:c>
      <x:c r="E4" s="36"/>
      <x:c r="G4" s="36" t="str">
        <x:v>Revisión vs Dic-2025</x:v>
      </x:c>
      <x:c r="H4" s="36"/>
    </x:row>
    <x:row r="5">
      <x:c r="A5" s="41" t="n">
        <x:f>'Histórico'!$C$16</x:f>
        <x:v>3.7</x:v>
      </x:c>
      <x:c r="B5" s="41"/>
      <x:c r="D5" s="41" t="n">
        <x:f>'Pronósticos'!$D$285</x:f>
        <x:v>2.5</x:v>
      </x:c>
      <x:c r="E5" s="41"/>
      <x:c r="G5" s="41" t="n">
        <x:f>D5-'Pronósticos'!$D$238</x:f>
        <x:v>0.2999999999999998</x:v>
      </x:c>
      <x:c r="H5" s="41"/>
    </x:row>
    <x:row r="6">
      <x:c r="A6" s="41"/>
      <x:c r="B6" s="41"/>
      <x:c r="D6" s="41"/>
      <x:c r="E6" s="41"/>
      <x:c r="G6" s="41"/>
      <x:c r="H6" s="41"/>
    </x:row>
    <x:row r="8" ht="22" customHeight="1">
      <x:c r="A8" s="11" t="str">
        <x:v>Serie</x:v>
      </x:c>
      <x:c r="B8" s="16" t="n">
        <x:v>2019</x:v>
      </x:c>
      <x:c r="C8" s="16" t="n">
        <x:v>2020</x:v>
      </x:c>
      <x:c r="D8" s="16" t="n">
        <x:v>2021</x:v>
      </x:c>
      <x:c r="E8" s="16" t="n">
        <x:v>2022</x:v>
      </x:c>
      <x:c r="F8" s="16" t="n">
        <x:v>2023</x:v>
      </x:c>
      <x:c r="G8" s="16" t="n">
        <x:v>2024</x:v>
      </x:c>
      <x:c r="H8" s="16" t="n">
        <x:v>2025</x:v>
      </x:c>
      <x:c r="I8" s="16" t="n">
        <x:v>2026</x:v>
      </x:c>
      <x:c r="J8" s="16" t="n">
        <x:v>2027</x:v>
      </x:c>
      <x:c r="K8" s="16" t="n">
        <x:v>2028</x:v>
      </x:c>
      <x:c r="L8" s="16" t="n">
        <x:v>2029</x:v>
      </x:c>
      <x:c r="M8" s="16" t="n">
        <x:v>2030</x:v>
      </x:c>
      <x:c r="N8" s="12" t="n">
        <x:v>2031</x:v>
      </x:c>
    </x:row>
    <x:row r="9">
      <x:c r="A9" t="str">
        <x:v>Histórico / estimado</x:v>
      </x:c>
      <x:c r="B9" s="42" t="n">
        <x:f>'Histórico'!$C$10</x:f>
        <x:v>0</x:v>
      </x:c>
      <x:c r="C9" s="42" t="n">
        <x:f>'Histórico'!$C$11</x:f>
        <x:v>-7.8</x:v>
      </x:c>
      <x:c r="D9" s="42" t="n">
        <x:f>'Histórico'!$C$12</x:f>
        <x:v>4.2</x:v>
      </x:c>
      <x:c r="E9" s="42" t="n">
        <x:f>'Histórico'!$C$13</x:f>
        <x:v>6.2</x:v>
      </x:c>
      <x:c r="F9" s="42" t="n">
        <x:f>'Histórico'!$C$14</x:f>
        <x:v>1.8</x:v>
      </x:c>
      <x:c r="G9" s="42" t="n">
        <x:f>'Histórico'!$C$15</x:f>
        <x:v>-1.9</x:v>
      </x:c>
      <x:c r="H9" s="42" t="n">
        <x:f>'Histórico'!$C$16</x:f>
        <x:v>3.7</x:v>
      </x:c>
      <x:c r="I9" s="42"/>
      <x:c r="J9" s="42"/>
      <x:c r="K9" s="42"/>
      <x:c r="L9" s="42"/>
      <x:c r="M9" s="42"/>
      <x:c r="N9" s="42"/>
    </x:row>
    <x:row r="10">
      <x:c r="A10" t="str">
        <x:v>Dic-2024</x:v>
      </x:c>
      <x:c r="B10" s="42"/>
      <x:c r="C10" s="42"/>
      <x:c r="D10" s="42"/>
      <x:c r="E10" s="42"/>
      <x:c r="F10" s="42"/>
      <x:c r="G10" s="42" t="n">
        <x:f>'Pronósticos'!$D$189</x:f>
        <x:v>-0.4</x:v>
      </x:c>
      <x:c r="H10" s="42" t="n">
        <x:f>'Pronósticos'!$D$190</x:f>
        <x:v>1.6</x:v>
      </x:c>
      <x:c r="I10" s="42" t="n">
        <x:f>'Pronósticos'!$D$191</x:f>
        <x:v>1.8</x:v>
      </x:c>
      <x:c r="J10" s="42" t="n">
        <x:f>'Pronósticos'!$D$192</x:f>
        <x:v>2.4</x:v>
      </x:c>
      <x:c r="K10" s="42" t="n">
        <x:f>'Pronósticos'!$D$193</x:f>
        <x:v>2.5</x:v>
      </x:c>
      <x:c r="L10" s="42" t="n">
        <x:f>'Pronósticos'!$D$194</x:f>
        <x:v>2.5</x:v>
      </x:c>
      <x:c r="M10" s="42"/>
      <x:c r="N10" s="42"/>
    </x:row>
    <x:row r="11">
      <x:c r="A11" t="str">
        <x:v>Dic-2025</x:v>
      </x:c>
      <x:c r="B11" s="42"/>
      <x:c r="C11" s="42"/>
      <x:c r="D11" s="42"/>
      <x:c r="E11" s="42"/>
      <x:c r="F11" s="42"/>
      <x:c r="G11" s="42"/>
      <x:c r="H11" s="42" t="n">
        <x:f>'Pronósticos'!$D$237</x:f>
        <x:v>3.4</x:v>
      </x:c>
      <x:c r="I11" s="42" t="n">
        <x:f>'Pronósticos'!$D$238</x:f>
        <x:v>2.2</x:v>
      </x:c>
      <x:c r="J11" s="42" t="n">
        <x:f>'Pronósticos'!$D$239</x:f>
        <x:v>2.4</x:v>
      </x:c>
      <x:c r="K11" s="42" t="n">
        <x:f>'Pronósticos'!$D$240</x:f>
        <x:v>2.6</x:v>
      </x:c>
      <x:c r="L11" s="42" t="n">
        <x:f>'Pronósticos'!$D$241</x:f>
        <x:v>2.8</x:v>
      </x:c>
      <x:c r="M11" s="42" t="n">
        <x:f>'Pronósticos'!$D$242</x:f>
        <x:v>3</x:v>
      </x:c>
      <x:c r="N11" s="42"/>
    </x:row>
    <x:row r="12">
      <x:c r="A12" t="str">
        <x:v>Abr-2026</x:v>
      </x:c>
      <x:c r="B12" s="42"/>
      <x:c r="C12" s="42"/>
      <x:c r="D12" s="42"/>
      <x:c r="E12" s="42"/>
      <x:c r="F12" s="42"/>
      <x:c r="G12" s="42"/>
      <x:c r="H12" s="42"/>
      <x:c r="I12" s="42" t="n">
        <x:f>'Pronósticos'!$D$285</x:f>
        <x:v>2.5</x:v>
      </x:c>
      <x:c r="J12" s="42" t="n">
        <x:f>'Pronósticos'!$D$286</x:f>
        <x:v>2.5</x:v>
      </x:c>
      <x:c r="K12" s="42" t="n">
        <x:f>'Pronósticos'!$D$287</x:f>
        <x:v>2.6</x:v>
      </x:c>
      <x:c r="L12" s="42" t="n">
        <x:f>'Pronósticos'!$D$288</x:f>
        <x:v>2.8</x:v>
      </x:c>
      <x:c r="M12" s="42" t="n">
        <x:f>'Pronósticos'!$D$289</x:f>
        <x:v>3</x:v>
      </x:c>
      <x:c r="N12" s="42" t="n">
        <x:f>'Pronósticos'!$D$290</x:f>
        <x:v>3</x:v>
      </x:c>
    </x:row>
  </x:sheetData>
  <x:mergeCells>
    <x:mergeCell ref="A1:N1"/>
    <x:mergeCell ref="A2:N2"/>
    <x:mergeCell ref="A4:B4"/>
    <x:mergeCell ref="A5:B6"/>
    <x:mergeCell ref="D4:E4"/>
    <x:mergeCell ref="D5:E6"/>
    <x:mergeCell ref="G4:H4"/>
    <x:mergeCell ref="G5:H6"/>
  </x:mergeCells>
  <x:pageMargins left="0.7" right="0.7" top="0.75" bottom="0.75" header="0.3" footer="0.3"/>
  <x:drawing xmlns:r="http://schemas.openxmlformats.org/officeDocument/2006/relationships" r:id="Ra6e80fe7f312422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0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4" customHeight="1">
      <x:c r="A1" s="3" t="str">
        <x:v>Serie histórica / estimada</x:v>
      </x:c>
      <x:c r="B1" s="3"/>
      <x:c r="C1" s="3"/>
      <x:c r="D1" s="3"/>
      <x:c r="E1" s="3"/>
      <x:c r="F1" s="3"/>
    </x:row>
    <x:row r="2" ht="24" customHeight="1">
      <x:c r="A2" s="6" t="str">
        <x:v>Estimación más reciente disponible por año; puede revisarse en informes posteriores</x:v>
      </x:c>
      <x:c r="B2" s="6"/>
      <x:c r="C2" s="6"/>
      <x:c r="D2" s="6"/>
      <x:c r="E2" s="6"/>
      <x:c r="F2" s="6"/>
    </x:row>
    <x:row r="4" ht="22" customHeight="1">
      <x:c r="A4" s="11" t="str">
        <x:v>Variable</x:v>
      </x:c>
      <x:c r="B4" s="16" t="str">
        <x:v>Año</x:v>
      </x:c>
      <x:c r="C4" s="16" t="str">
        <x:v>Valor</x:v>
      </x:c>
      <x:c r="D4" s="16" t="str">
        <x:v>Unidad</x:v>
      </x:c>
      <x:c r="E4" s="16" t="str">
        <x:v>Vintage fuente</x:v>
      </x:c>
      <x:c r="F4" s="12" t="str">
        <x:v>Estatus</x:v>
      </x:c>
    </x:row>
    <x:row r="5">
      <x:c r="A5" t="str">
        <x:v>Real GDP (%)</x:v>
      </x:c>
      <x:c r="B5" s="33" t="n">
        <x:v>2014</x:v>
      </x:c>
      <x:c r="C5" s="34" t="n">
        <x:v>3.8</x:v>
      </x:c>
      <x:c r="D5" t="str">
        <x:v>%</x:v>
      </x:c>
      <x:c r="E5" t="str">
        <x:v>Mar-2019</x:v>
      </x:c>
      <x:c r="F5" t="str">
        <x:v>Histórico / estimado</x:v>
      </x:c>
    </x:row>
    <x:row r="6">
      <x:c r="A6" t="str">
        <x:v>Real GDP (%)</x:v>
      </x:c>
      <x:c r="B6" s="33" t="n">
        <x:v>2015</x:v>
      </x:c>
      <x:c r="C6" s="34" t="n">
        <x:v>0.1</x:v>
      </x:c>
      <x:c r="D6" t="str">
        <x:v>%</x:v>
      </x:c>
      <x:c r="E6" t="str">
        <x:v>Mar-2019</x:v>
      </x:c>
      <x:c r="F6" t="str">
        <x:v>Histórico / estimado</x:v>
      </x:c>
    </x:row>
    <x:row r="7">
      <x:c r="A7" t="str">
        <x:v>Real GDP (%)</x:v>
      </x:c>
      <x:c r="B7" s="33" t="n">
        <x:v>2016</x:v>
      </x:c>
      <x:c r="C7" s="34" t="n">
        <x:v>-1.2</x:v>
      </x:c>
      <x:c r="D7" t="str">
        <x:v>%</x:v>
      </x:c>
      <x:c r="E7" t="str">
        <x:v>Mar-2019</x:v>
      </x:c>
      <x:c r="F7" t="str">
        <x:v>Histórico / estimado</x:v>
      </x:c>
    </x:row>
    <x:row r="8">
      <x:c r="A8" t="str">
        <x:v>Real GDP (%)</x:v>
      </x:c>
      <x:c r="B8" s="33" t="n">
        <x:v>2017</x:v>
      </x:c>
      <x:c r="C8" s="34" t="n">
        <x:v>2.4</x:v>
      </x:c>
      <x:c r="D8" t="str">
        <x:v>%</x:v>
      </x:c>
      <x:c r="E8" t="str">
        <x:v>Mar-2019</x:v>
      </x:c>
      <x:c r="F8" t="str">
        <x:v>Histórico / estimado</x:v>
      </x:c>
    </x:row>
    <x:row r="9">
      <x:c r="A9" t="str">
        <x:v>Real GDP (%)</x:v>
      </x:c>
      <x:c r="B9" s="33" t="n">
        <x:v>2018</x:v>
      </x:c>
      <x:c r="C9" s="34" t="n">
        <x:v>1.3</x:v>
      </x:c>
      <x:c r="D9" t="str">
        <x:v>%</x:v>
      </x:c>
      <x:c r="E9" t="str">
        <x:v>Oct-2021</x:v>
      </x:c>
      <x:c r="F9" t="str">
        <x:v>Histórico / estimado</x:v>
      </x:c>
    </x:row>
    <x:row r="10">
      <x:c r="A10" t="str">
        <x:v>Real GDP (%)</x:v>
      </x:c>
      <x:c r="B10" s="33" t="n">
        <x:v>2019</x:v>
      </x:c>
      <x:c r="C10" s="34" t="n">
        <x:v>0</x:v>
      </x:c>
      <x:c r="D10" t="str">
        <x:v>%</x:v>
      </x:c>
      <x:c r="E10" t="str">
        <x:v>Oct-2021</x:v>
      </x:c>
      <x:c r="F10" t="str">
        <x:v>Histórico / estimado</x:v>
      </x:c>
    </x:row>
    <x:row r="11">
      <x:c r="A11" t="str">
        <x:v>Real GDP (%)</x:v>
      </x:c>
      <x:c r="B11" s="33" t="n">
        <x:v>2020</x:v>
      </x:c>
      <x:c r="C11" s="34" t="n">
        <x:v>-7.8</x:v>
      </x:c>
      <x:c r="D11" t="str">
        <x:v>%</x:v>
      </x:c>
      <x:c r="E11" t="str">
        <x:v>Nov-2022</x:v>
      </x:c>
      <x:c r="F11" t="str">
        <x:v>Histórico / estimado</x:v>
      </x:c>
    </x:row>
    <x:row r="12">
      <x:c r="A12" t="str">
        <x:v>Real GDP (%)</x:v>
      </x:c>
      <x:c r="B12" s="33" t="n">
        <x:v>2021</x:v>
      </x:c>
      <x:c r="C12" s="34" t="n">
        <x:v>4.2</x:v>
      </x:c>
      <x:c r="D12" t="str">
        <x:v>%</x:v>
      </x:c>
      <x:c r="E12" t="str">
        <x:v>Nov-2022</x:v>
      </x:c>
      <x:c r="F12" t="str">
        <x:v>Histórico / estimado</x:v>
      </x:c>
    </x:row>
    <x:row r="13">
      <x:c r="A13" t="str">
        <x:v>Real GDP (%)</x:v>
      </x:c>
      <x:c r="B13" s="33" t="n">
        <x:v>2022</x:v>
      </x:c>
      <x:c r="C13" s="34" t="n">
        <x:v>6.2</x:v>
      </x:c>
      <x:c r="D13" t="str">
        <x:v>%</x:v>
      </x:c>
      <x:c r="E13" t="str">
        <x:v>Dic-2024</x:v>
      </x:c>
      <x:c r="F13" t="str">
        <x:v>Histórico / estimado</x:v>
      </x:c>
    </x:row>
    <x:row r="14">
      <x:c r="A14" t="str">
        <x:v>Real GDP (%)</x:v>
      </x:c>
      <x:c r="B14" s="33" t="n">
        <x:v>2023</x:v>
      </x:c>
      <x:c r="C14" s="34" t="n">
        <x:v>1.8</x:v>
      </x:c>
      <x:c r="D14" t="str">
        <x:v>%</x:v>
      </x:c>
      <x:c r="E14" t="str">
        <x:v>Abr-2026</x:v>
      </x:c>
      <x:c r="F14" t="str">
        <x:v>Histórico / estimado</x:v>
      </x:c>
    </x:row>
    <x:row r="15">
      <x:c r="A15" t="str">
        <x:v>Real GDP (%)</x:v>
      </x:c>
      <x:c r="B15" s="33" t="n">
        <x:v>2024</x:v>
      </x:c>
      <x:c r="C15" s="34" t="n">
        <x:v>-1.9</x:v>
      </x:c>
      <x:c r="D15" t="str">
        <x:v>%</x:v>
      </x:c>
      <x:c r="E15" t="str">
        <x:v>Abr-2026</x:v>
      </x:c>
      <x:c r="F15" t="str">
        <x:v>Histórico / estimado</x:v>
      </x:c>
    </x:row>
    <x:row r="16">
      <x:c r="A16" t="str">
        <x:v>Real GDP (%)</x:v>
      </x:c>
      <x:c r="B16" s="33" t="n">
        <x:v>2025</x:v>
      </x:c>
      <x:c r="C16" s="34" t="n">
        <x:v>3.7</x:v>
      </x:c>
      <x:c r="D16" t="str">
        <x:v>%</x:v>
      </x:c>
      <x:c r="E16" t="str">
        <x:v>Abr-2026</x:v>
      </x:c>
      <x:c r="F16" t="str">
        <x:v>Histórico / estimado</x:v>
      </x:c>
    </x:row>
    <x:row r="17">
      <x:c r="A17" t="str">
        <x:v>Inflación promedio (%)</x:v>
      </x:c>
      <x:c r="B17" s="33" t="n">
        <x:v>2014</x:v>
      </x:c>
      <x:c r="C17" s="34" t="n">
        <x:v>3.6</x:v>
      </x:c>
      <x:c r="D17" t="str">
        <x:v>%</x:v>
      </x:c>
      <x:c r="E17" t="str">
        <x:v>Mar-2019</x:v>
      </x:c>
      <x:c r="F17" t="str">
        <x:v>Histórico / estimado</x:v>
      </x:c>
    </x:row>
    <x:row r="18">
      <x:c r="A18" t="str">
        <x:v>Inflación promedio (%)</x:v>
      </x:c>
      <x:c r="B18" s="33" t="n">
        <x:v>2015</x:v>
      </x:c>
      <x:c r="C18" s="34" t="n">
        <x:v>4</x:v>
      </x:c>
      <x:c r="D18" t="str">
        <x:v>%</x:v>
      </x:c>
      <x:c r="E18" t="str">
        <x:v>Mar-2019</x:v>
      </x:c>
      <x:c r="F18" t="str">
        <x:v>Histórico / estimado</x:v>
      </x:c>
    </x:row>
    <x:row r="19">
      <x:c r="A19" t="str">
        <x:v>Inflación promedio (%)</x:v>
      </x:c>
      <x:c r="B19" s="33" t="n">
        <x:v>2016</x:v>
      </x:c>
      <x:c r="C19" s="34" t="n">
        <x:v>1.7</x:v>
      </x:c>
      <x:c r="D19" t="str">
        <x:v>%</x:v>
      </x:c>
      <x:c r="E19" t="str">
        <x:v>Mar-2019</x:v>
      </x:c>
      <x:c r="F19" t="str">
        <x:v>Histórico / estimado</x:v>
      </x:c>
    </x:row>
    <x:row r="20">
      <x:c r="A20" t="str">
        <x:v>Inflación promedio (%)</x:v>
      </x:c>
      <x:c r="B20" s="33" t="n">
        <x:v>2017</x:v>
      </x:c>
      <x:c r="C20" s="34" t="n">
        <x:v>0.4</x:v>
      </x:c>
      <x:c r="D20" t="str">
        <x:v>%</x:v>
      </x:c>
      <x:c r="E20" t="str">
        <x:v>Mar-2019</x:v>
      </x:c>
      <x:c r="F20" t="str">
        <x:v>Histórico / estimado</x:v>
      </x:c>
    </x:row>
    <x:row r="21">
      <x:c r="A21" t="str">
        <x:v>Inflación promedio (%)</x:v>
      </x:c>
      <x:c r="B21" s="33" t="n">
        <x:v>2018</x:v>
      </x:c>
      <x:c r="C21" s="34" t="n">
        <x:v>-0.2</x:v>
      </x:c>
      <x:c r="D21" t="str">
        <x:v>%</x:v>
      </x:c>
      <x:c r="E21" t="str">
        <x:v>Oct-2021</x:v>
      </x:c>
      <x:c r="F21" t="str">
        <x:v>Histórico / estimado</x:v>
      </x:c>
    </x:row>
    <x:row r="22">
      <x:c r="A22" t="str">
        <x:v>Inflación promedio (%)</x:v>
      </x:c>
      <x:c r="B22" s="33" t="n">
        <x:v>2019</x:v>
      </x:c>
      <x:c r="C22" s="34" t="n">
        <x:v>0.3</x:v>
      </x:c>
      <x:c r="D22" t="str">
        <x:v>%</x:v>
      </x:c>
      <x:c r="E22" t="str">
        <x:v>Oct-2021</x:v>
      </x:c>
      <x:c r="F22" t="str">
        <x:v>Histórico / estimado</x:v>
      </x:c>
    </x:row>
    <x:row r="23">
      <x:c r="A23" t="str">
        <x:v>Inflación promedio (%)</x:v>
      </x:c>
      <x:c r="B23" s="33" t="n">
        <x:v>2020</x:v>
      </x:c>
      <x:c r="C23" s="34" t="n">
        <x:v>-0.3</x:v>
      </x:c>
      <x:c r="D23" t="str">
        <x:v>%</x:v>
      </x:c>
      <x:c r="E23" t="str">
        <x:v>Nov-2022</x:v>
      </x:c>
      <x:c r="F23" t="str">
        <x:v>Histórico / estimado</x:v>
      </x:c>
    </x:row>
    <x:row r="24">
      <x:c r="A24" t="str">
        <x:v>Inflación promedio (%)</x:v>
      </x:c>
      <x:c r="B24" s="33" t="n">
        <x:v>2021</x:v>
      </x:c>
      <x:c r="C24" s="34" t="n">
        <x:v>0.1</x:v>
      </x:c>
      <x:c r="D24" t="str">
        <x:v>%</x:v>
      </x:c>
      <x:c r="E24" t="str">
        <x:v>Nov-2022</x:v>
      </x:c>
      <x:c r="F24" t="str">
        <x:v>Histórico / estimado</x:v>
      </x:c>
    </x:row>
    <x:row r="25">
      <x:c r="A25" t="str">
        <x:v>Inflación promedio (%)</x:v>
      </x:c>
      <x:c r="B25" s="33" t="n">
        <x:v>2022</x:v>
      </x:c>
      <x:c r="C25" s="34" t="n">
        <x:v>3.5</x:v>
      </x:c>
      <x:c r="D25" t="str">
        <x:v>%</x:v>
      </x:c>
      <x:c r="E25" t="str">
        <x:v>Dic-2024</x:v>
      </x:c>
      <x:c r="F25" t="str">
        <x:v>Histórico / estimado</x:v>
      </x:c>
    </x:row>
    <x:row r="26">
      <x:c r="A26" t="str">
        <x:v>Inflación promedio (%)</x:v>
      </x:c>
      <x:c r="B26" s="33" t="n">
        <x:v>2023</x:v>
      </x:c>
      <x:c r="C26" s="34" t="n">
        <x:v>2.2</x:v>
      </x:c>
      <x:c r="D26" t="str">
        <x:v>%</x:v>
      </x:c>
      <x:c r="E26" t="str">
        <x:v>Abr-2026</x:v>
      </x:c>
      <x:c r="F26" t="str">
        <x:v>Histórico / estimado</x:v>
      </x:c>
    </x:row>
    <x:row r="27">
      <x:c r="A27" t="str">
        <x:v>Inflación promedio (%)</x:v>
      </x:c>
      <x:c r="B27" s="33" t="n">
        <x:v>2024</x:v>
      </x:c>
      <x:c r="C27" s="34" t="n">
        <x:v>1.5</x:v>
      </x:c>
      <x:c r="D27" t="str">
        <x:v>%</x:v>
      </x:c>
      <x:c r="E27" t="str">
        <x:v>Abr-2026</x:v>
      </x:c>
      <x:c r="F27" t="str">
        <x:v>Histórico / estimado</x:v>
      </x:c>
    </x:row>
    <x:row r="28">
      <x:c r="A28" t="str">
        <x:v>Inflación promedio (%)</x:v>
      </x:c>
      <x:c r="B28" s="33" t="n">
        <x:v>2025</x:v>
      </x:c>
      <x:c r="C28" s="34" t="n">
        <x:v>0.7</x:v>
      </x:c>
      <x:c r="D28" t="str">
        <x:v>%</x:v>
      </x:c>
      <x:c r="E28" t="str">
        <x:v>Abr-2026</x:v>
      </x:c>
      <x:c r="F28" t="str">
        <x:v>Histórico / estimado</x:v>
      </x:c>
    </x:row>
    <x:row r="29">
      <x:c r="A29" t="str">
        <x:v>Cuenta Corriente (% PIB)</x:v>
      </x:c>
      <x:c r="B29" s="33" t="n">
        <x:v>2014</x:v>
      </x:c>
      <x:c r="C29" s="34" t="n">
        <x:v>-0.7</x:v>
      </x:c>
      <x:c r="D29" t="str">
        <x:v>% del PIB</x:v>
      </x:c>
      <x:c r="E29" t="str">
        <x:v>Mar-2019</x:v>
      </x:c>
      <x:c r="F29" t="str">
        <x:v>Histórico / estimado</x:v>
      </x:c>
    </x:row>
    <x:row r="30">
      <x:c r="A30" t="str">
        <x:v>Cuenta Corriente (% PIB)</x:v>
      </x:c>
      <x:c r="B30" s="33" t="n">
        <x:v>2015</x:v>
      </x:c>
      <x:c r="C30" s="34" t="n">
        <x:v>-2.2</x:v>
      </x:c>
      <x:c r="D30" t="str">
        <x:v>% del PIB</x:v>
      </x:c>
      <x:c r="E30" t="str">
        <x:v>Mar-2019</x:v>
      </x:c>
      <x:c r="F30" t="str">
        <x:v>Histórico / estimado</x:v>
      </x:c>
    </x:row>
    <x:row r="31">
      <x:c r="A31" t="str">
        <x:v>Cuenta Corriente (% PIB)</x:v>
      </x:c>
      <x:c r="B31" s="33" t="n">
        <x:v>2016</x:v>
      </x:c>
      <x:c r="C31" s="34" t="n">
        <x:v>1.3</x:v>
      </x:c>
      <x:c r="D31" t="str">
        <x:v>% del PIB</x:v>
      </x:c>
      <x:c r="E31" t="str">
        <x:v>Mar-2019</x:v>
      </x:c>
      <x:c r="F31" t="str">
        <x:v>Histórico / estimado</x:v>
      </x:c>
    </x:row>
    <x:row r="32">
      <x:c r="A32" t="str">
        <x:v>Cuenta Corriente (% PIB)</x:v>
      </x:c>
      <x:c r="B32" s="33" t="n">
        <x:v>2017</x:v>
      </x:c>
      <x:c r="C32" s="34" t="n">
        <x:v>-0.4</x:v>
      </x:c>
      <x:c r="D32" t="str">
        <x:v>% del PIB</x:v>
      </x:c>
      <x:c r="E32" t="str">
        <x:v>Mar-2019</x:v>
      </x:c>
      <x:c r="F32" t="str">
        <x:v>Histórico / estimado</x:v>
      </x:c>
    </x:row>
    <x:row r="33">
      <x:c r="A33" t="str">
        <x:v>Cuenta Corriente (% PIB)</x:v>
      </x:c>
      <x:c r="B33" s="33" t="n">
        <x:v>2018</x:v>
      </x:c>
      <x:c r="C33" s="34" t="n">
        <x:v>-1.2</x:v>
      </x:c>
      <x:c r="D33" t="str">
        <x:v>% del PIB</x:v>
      </x:c>
      <x:c r="E33" t="str">
        <x:v>Oct-2021</x:v>
      </x:c>
      <x:c r="F33" t="str">
        <x:v>Histórico / estimado</x:v>
      </x:c>
    </x:row>
    <x:row r="34">
      <x:c r="A34" t="str">
        <x:v>Cuenta Corriente (% PIB)</x:v>
      </x:c>
      <x:c r="B34" s="33" t="n">
        <x:v>2019</x:v>
      </x:c>
      <x:c r="C34" s="34" t="n">
        <x:v>-0.1</x:v>
      </x:c>
      <x:c r="D34" t="str">
        <x:v>% del PIB</x:v>
      </x:c>
      <x:c r="E34" t="str">
        <x:v>Oct-2021</x:v>
      </x:c>
      <x:c r="F34" t="str">
        <x:v>Histórico / estimado</x:v>
      </x:c>
    </x:row>
    <x:row r="35">
      <x:c r="A35" t="str">
        <x:v>Cuenta Corriente (% PIB)</x:v>
      </x:c>
      <x:c r="B35" s="33" t="n">
        <x:v>2020</x:v>
      </x:c>
      <x:c r="C35" s="34" t="n">
        <x:v>2.7</x:v>
      </x:c>
      <x:c r="D35" t="str">
        <x:v>% del PIB</x:v>
      </x:c>
      <x:c r="E35" t="str">
        <x:v>Nov-2022</x:v>
      </x:c>
      <x:c r="F35" t="str">
        <x:v>Histórico / estimado</x:v>
      </x:c>
    </x:row>
    <x:row r="36">
      <x:c r="A36" t="str">
        <x:v>Cuenta Corriente (% PIB)</x:v>
      </x:c>
      <x:c r="B36" s="33" t="n">
        <x:v>2021</x:v>
      </x:c>
      <x:c r="C36" s="34" t="n">
        <x:v>2.9</x:v>
      </x:c>
      <x:c r="D36" t="str">
        <x:v>% del PIB</x:v>
      </x:c>
      <x:c r="E36" t="str">
        <x:v>Nov-2022</x:v>
      </x:c>
      <x:c r="F36" t="str">
        <x:v>Histórico / estimado</x:v>
      </x:c>
    </x:row>
    <x:row r="37">
      <x:c r="A37" t="str">
        <x:v>Cuenta Corriente (% PIB)</x:v>
      </x:c>
      <x:c r="B37" s="33" t="n">
        <x:v>2022</x:v>
      </x:c>
      <x:c r="C37" s="34" t="n">
        <x:v>1.8</x:v>
      </x:c>
      <x:c r="D37" t="str">
        <x:v>% del PIB</x:v>
      </x:c>
      <x:c r="E37" t="str">
        <x:v>Dic-2024</x:v>
      </x:c>
      <x:c r="F37" t="str">
        <x:v>Histórico / estimado</x:v>
      </x:c>
    </x:row>
    <x:row r="38">
      <x:c r="A38" t="str">
        <x:v>Cuenta Corriente (% PIB)</x:v>
      </x:c>
      <x:c r="B38" s="33" t="n">
        <x:v>2023</x:v>
      </x:c>
      <x:c r="C38" s="34" t="n">
        <x:v>2</x:v>
      </x:c>
      <x:c r="D38" t="str">
        <x:v>% del PIB</x:v>
      </x:c>
      <x:c r="E38" t="str">
        <x:v>Abr-2026</x:v>
      </x:c>
      <x:c r="F38" t="str">
        <x:v>Histórico / estimado</x:v>
      </x:c>
    </x:row>
    <x:row r="39">
      <x:c r="A39" t="str">
        <x:v>Cuenta Corriente (% PIB)</x:v>
      </x:c>
      <x:c r="B39" s="33" t="n">
        <x:v>2024</x:v>
      </x:c>
      <x:c r="C39" s="34" t="n">
        <x:v>5.7</x:v>
      </x:c>
      <x:c r="D39" t="str">
        <x:v>% del PIB</x:v>
      </x:c>
      <x:c r="E39" t="str">
        <x:v>Abr-2026</x:v>
      </x:c>
      <x:c r="F39" t="str">
        <x:v>Histórico / estimado</x:v>
      </x:c>
    </x:row>
    <x:row r="40">
      <x:c r="A40" t="str">
        <x:v>Cuenta Corriente (% PIB)</x:v>
      </x:c>
      <x:c r="B40" s="33" t="n">
        <x:v>2025</x:v>
      </x:c>
      <x:c r="C40" s="34" t="n">
        <x:v>5.8</x:v>
      </x:c>
      <x:c r="D40" t="str">
        <x:v>% del PIB</x:v>
      </x:c>
      <x:c r="E40" t="str">
        <x:v>Abr-2026</x:v>
      </x:c>
      <x:c r="F40" t="str">
        <x:v>Histórico / estimado</x:v>
      </x:c>
    </x:row>
    <x:row r="41">
      <x:c r="A41" t="str">
        <x:v>Balance Fiscal NFPS (% PIB)</x:v>
      </x:c>
      <x:c r="B41" s="33" t="n">
        <x:v>2014</x:v>
      </x:c>
      <x:c r="C41" s="34" t="n">
        <x:v>-5.2</x:v>
      </x:c>
      <x:c r="D41" t="str">
        <x:v>% del PIB</x:v>
      </x:c>
      <x:c r="E41" t="str">
        <x:v>Mar-2019</x:v>
      </x:c>
      <x:c r="F41" t="str">
        <x:v>Histórico / estimado</x:v>
      </x:c>
    </x:row>
    <x:row r="42">
      <x:c r="A42" t="str">
        <x:v>Balance Fiscal NFPS (% PIB)</x:v>
      </x:c>
      <x:c r="B42" s="33" t="n">
        <x:v>2015</x:v>
      </x:c>
      <x:c r="C42" s="34" t="n">
        <x:v>-6.1</x:v>
      </x:c>
      <x:c r="D42" t="str">
        <x:v>% del PIB</x:v>
      </x:c>
      <x:c r="E42" t="str">
        <x:v>Mar-2019</x:v>
      </x:c>
      <x:c r="F42" t="str">
        <x:v>Histórico / estimado</x:v>
      </x:c>
    </x:row>
    <x:row r="43">
      <x:c r="A43" t="str">
        <x:v>Balance Fiscal NFPS (% PIB)</x:v>
      </x:c>
      <x:c r="B43" s="33" t="n">
        <x:v>2016</x:v>
      </x:c>
      <x:c r="C43" s="34" t="n">
        <x:v>-8.2</x:v>
      </x:c>
      <x:c r="D43" t="str">
        <x:v>% del PIB</x:v>
      </x:c>
      <x:c r="E43" t="str">
        <x:v>Mar-2019</x:v>
      </x:c>
      <x:c r="F43" t="str">
        <x:v>Histórico / estimado</x:v>
      </x:c>
    </x:row>
    <x:row r="44">
      <x:c r="A44" t="str">
        <x:v>Balance Fiscal NFPS (% PIB)</x:v>
      </x:c>
      <x:c r="B44" s="33" t="n">
        <x:v>2017</x:v>
      </x:c>
      <x:c r="C44" s="34" t="n">
        <x:v>-4.5</x:v>
      </x:c>
      <x:c r="D44" t="str">
        <x:v>% del PIB</x:v>
      </x:c>
      <x:c r="E44" t="str">
        <x:v>Mar-2019</x:v>
      </x:c>
      <x:c r="F44" t="str">
        <x:v>Histórico / estimado</x:v>
      </x:c>
    </x:row>
    <x:row r="45">
      <x:c r="A45" t="str">
        <x:v>Balance Fiscal NFPS (% PIB)</x:v>
      </x:c>
      <x:c r="B45" s="33" t="n">
        <x:v>2018</x:v>
      </x:c>
      <x:c r="C45" s="34" t="n">
        <x:v>-2.1</x:v>
      </x:c>
      <x:c r="D45" t="str">
        <x:v>% del PIB</x:v>
      </x:c>
      <x:c r="E45" t="str">
        <x:v>Oct-2021</x:v>
      </x:c>
      <x:c r="F45" t="str">
        <x:v>Histórico / estimado</x:v>
      </x:c>
    </x:row>
    <x:row r="46">
      <x:c r="A46" t="str">
        <x:v>Balance Fiscal NFPS (% PIB)</x:v>
      </x:c>
      <x:c r="B46" s="33" t="n">
        <x:v>2019</x:v>
      </x:c>
      <x:c r="C46" s="34" t="n">
        <x:v>-2.7</x:v>
      </x:c>
      <x:c r="D46" t="str">
        <x:v>% del PIB</x:v>
      </x:c>
      <x:c r="E46" t="str">
        <x:v>Oct-2021</x:v>
      </x:c>
      <x:c r="F46" t="str">
        <x:v>Histórico / estimado</x:v>
      </x:c>
    </x:row>
    <x:row r="47">
      <x:c r="A47" t="str">
        <x:v>Balance Fiscal NFPS (% PIB)</x:v>
      </x:c>
      <x:c r="B47" s="33" t="n">
        <x:v>2020</x:v>
      </x:c>
      <x:c r="C47" s="34" t="n">
        <x:v>-7.1</x:v>
      </x:c>
      <x:c r="D47" t="str">
        <x:v>% del PIB</x:v>
      </x:c>
      <x:c r="E47" t="str">
        <x:v>Nov-2022</x:v>
      </x:c>
      <x:c r="F47" t="str">
        <x:v>Histórico / estimado</x:v>
      </x:c>
    </x:row>
    <x:row r="48">
      <x:c r="A48" t="str">
        <x:v>Balance Fiscal NFPS (% PIB)</x:v>
      </x:c>
      <x:c r="B48" s="33" t="n">
        <x:v>2021</x:v>
      </x:c>
      <x:c r="C48" s="34" t="n">
        <x:v>-1.6</x:v>
      </x:c>
      <x:c r="D48" t="str">
        <x:v>% del PIB</x:v>
      </x:c>
      <x:c r="E48" t="str">
        <x:v>Nov-2022</x:v>
      </x:c>
      <x:c r="F48" t="str">
        <x:v>Histórico / estimado</x:v>
      </x:c>
    </x:row>
    <x:row r="49">
      <x:c r="A49" t="str">
        <x:v>Balance Fiscal NFPS (% PIB)</x:v>
      </x:c>
      <x:c r="B49" s="33" t="n">
        <x:v>2022</x:v>
      </x:c>
      <x:c r="C49" s="34" t="n">
        <x:v>0</x:v>
      </x:c>
      <x:c r="D49" t="str">
        <x:v>% del PIB</x:v>
      </x:c>
      <x:c r="E49" t="str">
        <x:v>Dic-2024</x:v>
      </x:c>
      <x:c r="F49" t="str">
        <x:v>Histórico / estimado</x:v>
      </x:c>
    </x:row>
    <x:row r="50">
      <x:c r="A50" t="str">
        <x:v>Balance Fiscal NFPS (% PIB)</x:v>
      </x:c>
      <x:c r="B50" s="33" t="n">
        <x:v>2023</x:v>
      </x:c>
      <x:c r="C50" s="34" t="n">
        <x:v>-3.5</x:v>
      </x:c>
      <x:c r="D50" t="str">
        <x:v>% del PIB</x:v>
      </x:c>
      <x:c r="E50" t="str">
        <x:v>Abr-2026</x:v>
      </x:c>
      <x:c r="F50" t="str">
        <x:v>Histórico / estimado</x:v>
      </x:c>
    </x:row>
    <x:row r="51">
      <x:c r="A51" t="str">
        <x:v>Balance Fiscal NFPS (% PIB)</x:v>
      </x:c>
      <x:c r="B51" s="33" t="n">
        <x:v>2024</x:v>
      </x:c>
      <x:c r="C51" s="34" t="n">
        <x:v>-1.3</x:v>
      </x:c>
      <x:c r="D51" t="str">
        <x:v>% del PIB</x:v>
      </x:c>
      <x:c r="E51" t="str">
        <x:v>Abr-2026</x:v>
      </x:c>
      <x:c r="F51" t="str">
        <x:v>Histórico / estimado</x:v>
      </x:c>
    </x:row>
    <x:row r="52">
      <x:c r="A52" t="str">
        <x:v>Balance Fiscal NFPS (% PIB)</x:v>
      </x:c>
      <x:c r="B52" s="33" t="n">
        <x:v>2025</x:v>
      </x:c>
      <x:c r="C52" s="34" t="n">
        <x:v>-2.9</x:v>
      </x:c>
      <x:c r="D52" t="str">
        <x:v>% del PIB</x:v>
      </x:c>
      <x:c r="E52" t="str">
        <x:v>Abr-2026</x:v>
      </x:c>
      <x:c r="F52" t="str">
        <x:v>Histórico / estimado</x:v>
      </x:c>
    </x:row>
    <x:row r="53">
      <x:c r="A53" t="str">
        <x:v>Deuda Pública (% PIB)</x:v>
      </x:c>
      <x:c r="B53" s="33" t="n">
        <x:v>2014</x:v>
      </x:c>
      <x:c r="C53" s="34" t="n">
        <x:v>27.1</x:v>
      </x:c>
      <x:c r="D53" t="str">
        <x:v>% del PIB</x:v>
      </x:c>
      <x:c r="E53" t="str">
        <x:v>Mar-2019</x:v>
      </x:c>
      <x:c r="F53" t="str">
        <x:v>Histórico / estimado</x:v>
      </x:c>
    </x:row>
    <x:row r="54">
      <x:c r="A54" t="str">
        <x:v>Deuda Pública (% PIB)</x:v>
      </x:c>
      <x:c r="B54" s="33" t="n">
        <x:v>2015</x:v>
      </x:c>
      <x:c r="C54" s="34" t="n">
        <x:v>33.8</x:v>
      </x:c>
      <x:c r="D54" t="str">
        <x:v>% del PIB</x:v>
      </x:c>
      <x:c r="E54" t="str">
        <x:v>Mar-2019</x:v>
      </x:c>
      <x:c r="F54" t="str">
        <x:v>Histórico / estimado</x:v>
      </x:c>
    </x:row>
    <x:row r="55">
      <x:c r="A55" t="str">
        <x:v>Deuda Pública (% PIB)</x:v>
      </x:c>
      <x:c r="B55" s="33" t="n">
        <x:v>2016</x:v>
      </x:c>
      <x:c r="C55" s="34" t="n">
        <x:v>43.2</x:v>
      </x:c>
      <x:c r="D55" t="str">
        <x:v>% del PIB</x:v>
      </x:c>
      <x:c r="E55" t="str">
        <x:v>Mar-2019</x:v>
      </x:c>
      <x:c r="F55" t="str">
        <x:v>Histórico / estimado</x:v>
      </x:c>
    </x:row>
    <x:row r="56">
      <x:c r="A56" t="str">
        <x:v>Deuda Pública (% PIB)</x:v>
      </x:c>
      <x:c r="B56" s="33" t="n">
        <x:v>2017</x:v>
      </x:c>
      <x:c r="C56" s="34" t="n">
        <x:v>44.6</x:v>
      </x:c>
      <x:c r="D56" t="str">
        <x:v>% del PIB</x:v>
      </x:c>
      <x:c r="E56" t="str">
        <x:v>Mar-2019</x:v>
      </x:c>
      <x:c r="F56" t="str">
        <x:v>Histórico / estimado</x:v>
      </x:c>
    </x:row>
    <x:row r="57">
      <x:c r="A57" t="str">
        <x:v>Deuda Pública (% PIB)</x:v>
      </x:c>
      <x:c r="B57" s="33" t="n">
        <x:v>2018</x:v>
      </x:c>
      <x:c r="C57" s="34" t="n">
        <x:v>49.1</x:v>
      </x:c>
      <x:c r="D57" t="str">
        <x:v>% del PIB</x:v>
      </x:c>
      <x:c r="E57" t="str">
        <x:v>Oct-2021</x:v>
      </x:c>
      <x:c r="F57" t="str">
        <x:v>Histórico / estimado</x:v>
      </x:c>
    </x:row>
    <x:row r="58">
      <x:c r="A58" t="str">
        <x:v>Deuda Pública (% PIB)</x:v>
      </x:c>
      <x:c r="B58" s="33" t="n">
        <x:v>2019</x:v>
      </x:c>
      <x:c r="C58" s="34" t="n">
        <x:v>51.4</x:v>
      </x:c>
      <x:c r="D58" t="str">
        <x:v>% del PIB</x:v>
      </x:c>
      <x:c r="E58" t="str">
        <x:v>Oct-2021</x:v>
      </x:c>
      <x:c r="F58" t="str">
        <x:v>Histórico / estimado</x:v>
      </x:c>
    </x:row>
    <x:row r="59">
      <x:c r="A59" t="str">
        <x:v>Deuda Pública (% PIB)</x:v>
      </x:c>
      <x:c r="B59" s="33" t="n">
        <x:v>2020</x:v>
      </x:c>
      <x:c r="C59" s="34" t="n">
        <x:v>60.9</x:v>
      </x:c>
      <x:c r="D59" t="str">
        <x:v>% del PIB</x:v>
      </x:c>
      <x:c r="E59" t="str">
        <x:v>Nov-2022</x:v>
      </x:c>
      <x:c r="F59" t="str">
        <x:v>Histórico / estimado</x:v>
      </x:c>
    </x:row>
    <x:row r="60">
      <x:c r="A60" t="str">
        <x:v>Deuda Pública (% PIB)</x:v>
      </x:c>
      <x:c r="B60" s="33" t="n">
        <x:v>2021</x:v>
      </x:c>
      <x:c r="C60" s="34" t="n">
        <x:v>62.3</x:v>
      </x:c>
      <x:c r="D60" t="str">
        <x:v>% del PIB</x:v>
      </x:c>
      <x:c r="E60" t="str">
        <x:v>Nov-2022</x:v>
      </x:c>
      <x:c r="F60" t="str">
        <x:v>Histórico / estimado</x:v>
      </x:c>
    </x:row>
    <x:row r="61">
      <x:c r="A61" t="str">
        <x:v>Deuda Pública (% PIB)</x:v>
      </x:c>
      <x:c r="B61" s="33" t="n">
        <x:v>2022</x:v>
      </x:c>
      <x:c r="C61" s="34" t="n">
        <x:v>57</x:v>
      </x:c>
      <x:c r="D61" t="str">
        <x:v>% del PIB</x:v>
      </x:c>
      <x:c r="E61" t="str">
        <x:v>Dic-2024</x:v>
      </x:c>
      <x:c r="F61" t="str">
        <x:v>Histórico / estimado</x:v>
      </x:c>
    </x:row>
    <x:row r="62">
      <x:c r="A62" t="str">
        <x:v>Deuda Pública (% PIB)</x:v>
      </x:c>
      <x:c r="B62" s="33" t="n">
        <x:v>2023</x:v>
      </x:c>
      <x:c r="C62" s="34" t="n">
        <x:v>54.5</x:v>
      </x:c>
      <x:c r="D62" t="str">
        <x:v>% del PIB</x:v>
      </x:c>
      <x:c r="E62" t="str">
        <x:v>Abr-2026</x:v>
      </x:c>
      <x:c r="F62" t="str">
        <x:v>Histórico / estimado</x:v>
      </x:c>
    </x:row>
    <x:row r="63">
      <x:c r="A63" t="str">
        <x:v>Deuda Pública (% PIB)</x:v>
      </x:c>
      <x:c r="B63" s="33" t="n">
        <x:v>2024</x:v>
      </x:c>
      <x:c r="C63" s="34" t="n">
        <x:v>54.1</x:v>
      </x:c>
      <x:c r="D63" t="str">
        <x:v>% del PIB</x:v>
      </x:c>
      <x:c r="E63" t="str">
        <x:v>Abr-2026</x:v>
      </x:c>
      <x:c r="F63" t="str">
        <x:v>Histórico / estimado</x:v>
      </x:c>
    </x:row>
    <x:row r="64">
      <x:c r="A64" t="str">
        <x:v>Deuda Pública (% PIB)</x:v>
      </x:c>
      <x:c r="B64" s="33" t="n">
        <x:v>2025</x:v>
      </x:c>
      <x:c r="C64" s="34" t="n">
        <x:v>54.3</x:v>
      </x:c>
      <x:c r="D64" t="str">
        <x:v>% del PIB</x:v>
      </x:c>
      <x:c r="E64" t="str">
        <x:v>Abr-2026</x:v>
      </x:c>
      <x:c r="F64" t="str">
        <x:v>Histórico / estimado</x:v>
      </x:c>
    </x:row>
    <x:row r="65">
      <x:c r="A65" t="str">
        <x:v>Precio Petróleo Ecuador (USD/bbl)</x:v>
      </x:c>
      <x:c r="B65" s="33" t="n">
        <x:v>2014</x:v>
      </x:c>
      <x:c r="C65" s="34" t="n">
        <x:v>84</x:v>
      </x:c>
      <x:c r="D65" t="str">
        <x:v>USD/barril</x:v>
      </x:c>
      <x:c r="E65" t="str">
        <x:v>Mar-2019</x:v>
      </x:c>
      <x:c r="F65" t="str">
        <x:v>Histórico / estimado</x:v>
      </x:c>
    </x:row>
    <x:row r="66">
      <x:c r="A66" t="str">
        <x:v>Precio Petróleo Ecuador (USD/bbl)</x:v>
      </x:c>
      <x:c r="B66" s="33" t="n">
        <x:v>2015</x:v>
      </x:c>
      <x:c r="C66" s="34" t="n">
        <x:v>42.1</x:v>
      </x:c>
      <x:c r="D66" t="str">
        <x:v>USD/barril</x:v>
      </x:c>
      <x:c r="E66" t="str">
        <x:v>Mar-2019</x:v>
      </x:c>
      <x:c r="F66" t="str">
        <x:v>Histórico / estimado</x:v>
      </x:c>
    </x:row>
    <x:row r="67">
      <x:c r="A67" t="str">
        <x:v>Precio Petróleo Ecuador (USD/bbl)</x:v>
      </x:c>
      <x:c r="B67" s="33" t="n">
        <x:v>2016</x:v>
      </x:c>
      <x:c r="C67" s="34" t="n">
        <x:v>34.5</x:v>
      </x:c>
      <x:c r="D67" t="str">
        <x:v>USD/barril</x:v>
      </x:c>
      <x:c r="E67" t="str">
        <x:v>Mar-2019</x:v>
      </x:c>
      <x:c r="F67" t="str">
        <x:v>Histórico / estimado</x:v>
      </x:c>
    </x:row>
    <x:row r="68">
      <x:c r="A68" t="str">
        <x:v>Precio Petróleo Ecuador (USD/bbl)</x:v>
      </x:c>
      <x:c r="B68" s="33" t="n">
        <x:v>2017</x:v>
      </x:c>
      <x:c r="C68" s="34" t="n">
        <x:v>45.6</x:v>
      </x:c>
      <x:c r="D68" t="str">
        <x:v>USD/barril</x:v>
      </x:c>
      <x:c r="E68" t="str">
        <x:v>Mar-2019</x:v>
      </x:c>
      <x:c r="F68" t="str">
        <x:v>Histórico / estimado</x:v>
      </x:c>
    </x:row>
    <x:row r="69">
      <x:c r="A69" t="str">
        <x:v>Precio Petróleo Ecuador (USD/bbl)</x:v>
      </x:c>
      <x:c r="B69" s="33" t="n">
        <x:v>2018</x:v>
      </x:c>
      <x:c r="C69" s="34" t="n">
        <x:v>60.6</x:v>
      </x:c>
      <x:c r="D69" t="str">
        <x:v>USD/barril</x:v>
      </x:c>
      <x:c r="E69" t="str">
        <x:v>Oct-2021</x:v>
      </x:c>
      <x:c r="F69" t="str">
        <x:v>Histórico / estimado</x:v>
      </x:c>
    </x:row>
    <x:row r="70">
      <x:c r="A70" t="str">
        <x:v>Precio Petróleo Ecuador (USD/bbl)</x:v>
      </x:c>
      <x:c r="B70" s="33" t="n">
        <x:v>2019</x:v>
      </x:c>
      <x:c r="C70" s="34" t="n">
        <x:v>55.1</x:v>
      </x:c>
      <x:c r="D70" t="str">
        <x:v>USD/barril</x:v>
      </x:c>
      <x:c r="E70" t="str">
        <x:v>Oct-2021</x:v>
      </x:c>
      <x:c r="F70" t="str">
        <x:v>Histórico / estimado</x:v>
      </x:c>
    </x:row>
    <x:row r="71">
      <x:c r="A71" t="str">
        <x:v>Precio Petróleo Ecuador (USD/bbl)</x:v>
      </x:c>
      <x:c r="B71" s="33" t="n">
        <x:v>2020</x:v>
      </x:c>
      <x:c r="C71" s="34" t="n">
        <x:v>35.6</x:v>
      </x:c>
      <x:c r="D71" t="str">
        <x:v>USD/barril</x:v>
      </x:c>
      <x:c r="E71" t="str">
        <x:v>Nov-2022</x:v>
      </x:c>
      <x:c r="F71" t="str">
        <x:v>Histórico / estimado</x:v>
      </x:c>
    </x:row>
    <x:row r="72">
      <x:c r="A72" t="str">
        <x:v>Precio Petróleo Ecuador (USD/bbl)</x:v>
      </x:c>
      <x:c r="B72" s="33" t="n">
        <x:v>2021</x:v>
      </x:c>
      <x:c r="C72" s="34" t="n">
        <x:v>62</x:v>
      </x:c>
      <x:c r="D72" t="str">
        <x:v>USD/barril</x:v>
      </x:c>
      <x:c r="E72" t="str">
        <x:v>Nov-2022</x:v>
      </x:c>
      <x:c r="F72" t="str">
        <x:v>Histórico / estimado</x:v>
      </x:c>
    </x:row>
    <x:row r="73">
      <x:c r="A73" t="str">
        <x:v>Precio Petróleo Ecuador (USD/bbl)</x:v>
      </x:c>
      <x:c r="B73" s="33" t="n">
        <x:v>2022</x:v>
      </x:c>
      <x:c r="C73" s="34" t="n">
        <x:v>85.8</x:v>
      </x:c>
      <x:c r="D73" t="str">
        <x:v>USD/barril</x:v>
      </x:c>
      <x:c r="E73" t="str">
        <x:v>Dic-2024</x:v>
      </x:c>
      <x:c r="F73" t="str">
        <x:v>Histórico / estimado</x:v>
      </x:c>
    </x:row>
    <x:row r="74">
      <x:c r="A74" t="str">
        <x:v>Precio Petróleo Ecuador (USD/bbl)</x:v>
      </x:c>
      <x:c r="B74" s="33" t="n">
        <x:v>2023</x:v>
      </x:c>
      <x:c r="C74" s="34" t="n">
        <x:v>68</x:v>
      </x:c>
      <x:c r="D74" t="str">
        <x:v>USD/barril</x:v>
      </x:c>
      <x:c r="E74" t="str">
        <x:v>Abr-2026</x:v>
      </x:c>
      <x:c r="F74" t="str">
        <x:v>Histórico / estimado</x:v>
      </x:c>
    </x:row>
    <x:row r="75">
      <x:c r="A75" t="str">
        <x:v>Precio Petróleo Ecuador (USD/bbl)</x:v>
      </x:c>
      <x:c r="B75" s="33" t="n">
        <x:v>2024</x:v>
      </x:c>
      <x:c r="C75" s="34" t="n">
        <x:v>68.5</x:v>
      </x:c>
      <x:c r="D75" t="str">
        <x:v>USD/barril</x:v>
      </x:c>
      <x:c r="E75" t="str">
        <x:v>Abr-2026</x:v>
      </x:c>
      <x:c r="F75" t="str">
        <x:v>Histórico / estimado</x:v>
      </x:c>
    </x:row>
    <x:row r="76">
      <x:c r="A76" t="str">
        <x:v>Precio Petróleo Ecuador (USD/bbl)</x:v>
      </x:c>
      <x:c r="B76" s="33" t="n">
        <x:v>2025</x:v>
      </x:c>
      <x:c r="C76" s="34" t="n">
        <x:v>58.6</x:v>
      </x:c>
      <x:c r="D76" t="str">
        <x:v>USD/barril</x:v>
      </x:c>
      <x:c r="E76" t="str">
        <x:v>Abr-2026</x:v>
      </x:c>
      <x:c r="F76" t="str">
        <x:v>Histórico / estimado</x:v>
      </x:c>
    </x:row>
    <x:row r="77">
      <x:c r="A77" t="str">
        <x:v>PIB Nominal (USD mn)</x:v>
      </x:c>
      <x:c r="B77" s="33" t="n">
        <x:v>2014</x:v>
      </x:c>
      <x:c r="C77" s="34" t="n">
        <x:v>101726</x:v>
      </x:c>
      <x:c r="D77" t="str">
        <x:v>USD millones</x:v>
      </x:c>
      <x:c r="E77" t="str">
        <x:v>Mar-2019</x:v>
      </x:c>
      <x:c r="F77" t="str">
        <x:v>Histórico / estimado</x:v>
      </x:c>
    </x:row>
    <x:row r="78">
      <x:c r="A78" t="str">
        <x:v>PIB Nominal (USD mn)</x:v>
      </x:c>
      <x:c r="B78" s="33" t="n">
        <x:v>2015</x:v>
      </x:c>
      <x:c r="C78" s="34" t="n">
        <x:v>99290</x:v>
      </x:c>
      <x:c r="D78" t="str">
        <x:v>USD millones</x:v>
      </x:c>
      <x:c r="E78" t="str">
        <x:v>Mar-2019</x:v>
      </x:c>
      <x:c r="F78" t="str">
        <x:v>Histórico / estimado</x:v>
      </x:c>
    </x:row>
    <x:row r="79">
      <x:c r="A79" t="str">
        <x:v>PIB Nominal (USD mn)</x:v>
      </x:c>
      <x:c r="B79" s="33" t="n">
        <x:v>2016</x:v>
      </x:c>
      <x:c r="C79" s="34" t="n">
        <x:v>99938</x:v>
      </x:c>
      <x:c r="D79" t="str">
        <x:v>USD millones</x:v>
      </x:c>
      <x:c r="E79" t="str">
        <x:v>Mar-2019</x:v>
      </x:c>
      <x:c r="F79" t="str">
        <x:v>Histórico / estimado</x:v>
      </x:c>
    </x:row>
    <x:row r="80">
      <x:c r="A80" t="str">
        <x:v>PIB Nominal (USD mn)</x:v>
      </x:c>
      <x:c r="B80" s="33" t="n">
        <x:v>2017</x:v>
      </x:c>
      <x:c r="C80" s="34" t="n">
        <x:v>104296</x:v>
      </x:c>
      <x:c r="D80" t="str">
        <x:v>USD millones</x:v>
      </x:c>
      <x:c r="E80" t="str">
        <x:v>Mar-2019</x:v>
      </x:c>
      <x:c r="F80" t="str">
        <x:v>Histórico / estimado</x:v>
      </x:c>
    </x:row>
    <x:row r="81">
      <x:c r="A81" t="str">
        <x:v>PIB Nominal (USD mn)</x:v>
      </x:c>
      <x:c r="B81" s="33" t="n">
        <x:v>2018</x:v>
      </x:c>
      <x:c r="C81" s="34" t="n">
        <x:v>107562</x:v>
      </x:c>
      <x:c r="D81" t="str">
        <x:v>USD millones</x:v>
      </x:c>
      <x:c r="E81" t="str">
        <x:v>Oct-2021</x:v>
      </x:c>
      <x:c r="F81" t="str">
        <x:v>Histórico / estimado</x:v>
      </x:c>
    </x:row>
    <x:row r="82">
      <x:c r="A82" t="str">
        <x:v>PIB Nominal (USD mn)</x:v>
      </x:c>
      <x:c r="B82" s="33" t="n">
        <x:v>2019</x:v>
      </x:c>
      <x:c r="C82" s="34" t="n">
        <x:v>108108</x:v>
      </x:c>
      <x:c r="D82" t="str">
        <x:v>USD millones</x:v>
      </x:c>
      <x:c r="E82" t="str">
        <x:v>Oct-2021</x:v>
      </x:c>
      <x:c r="F82" t="str">
        <x:v>Histórico / estimado</x:v>
      </x:c>
    </x:row>
    <x:row r="83">
      <x:c r="A83" t="str">
        <x:v>PIB Nominal (USD mn)</x:v>
      </x:c>
      <x:c r="B83" s="33" t="n">
        <x:v>2020</x:v>
      </x:c>
      <x:c r="C83" s="34" t="n">
        <x:v>99291</x:v>
      </x:c>
      <x:c r="D83" t="str">
        <x:v>USD millones</x:v>
      </x:c>
      <x:c r="E83" t="str">
        <x:v>Nov-2022</x:v>
      </x:c>
      <x:c r="F83" t="str">
        <x:v>Histórico / estimado</x:v>
      </x:c>
    </x:row>
    <x:row r="84">
      <x:c r="A84" t="str">
        <x:v>PIB Nominal (USD mn)</x:v>
      </x:c>
      <x:c r="B84" s="33" t="n">
        <x:v>2021</x:v>
      </x:c>
      <x:c r="C84" s="34" t="n">
        <x:v>106166</x:v>
      </x:c>
      <x:c r="D84" t="str">
        <x:v>USD millones</x:v>
      </x:c>
      <x:c r="E84" t="str">
        <x:v>Nov-2022</x:v>
      </x:c>
      <x:c r="F84" t="str">
        <x:v>Histórico / estimado</x:v>
      </x:c>
    </x:row>
    <x:row r="85">
      <x:c r="A85" t="str">
        <x:v>PIB Nominal (USD mn)</x:v>
      </x:c>
      <x:c r="B85" s="33" t="n">
        <x:v>2022</x:v>
      </x:c>
      <x:c r="C85" s="34" t="n">
        <x:v>116586</x:v>
      </x:c>
      <x:c r="D85" t="str">
        <x:v>USD millones</x:v>
      </x:c>
      <x:c r="E85" t="str">
        <x:v>Dic-2024</x:v>
      </x:c>
      <x:c r="F85" t="str">
        <x:v>Histórico / estimado</x:v>
      </x:c>
    </x:row>
    <x:row r="86">
      <x:c r="A86" t="str">
        <x:v>PIB Nominal (USD mn)</x:v>
      </x:c>
      <x:c r="B86" s="33" t="n">
        <x:v>2023</x:v>
      </x:c>
      <x:c r="C86" s="34" t="n">
        <x:v>120793</x:v>
      </x:c>
      <x:c r="D86" t="str">
        <x:v>USD millones</x:v>
      </x:c>
      <x:c r="E86" t="str">
        <x:v>Abr-2026</x:v>
      </x:c>
      <x:c r="F86" t="str">
        <x:v>Histórico / estimado</x:v>
      </x:c>
    </x:row>
    <x:row r="87">
      <x:c r="A87" t="str">
        <x:v>PIB Nominal (USD mn)</x:v>
      </x:c>
      <x:c r="B87" s="33" t="n">
        <x:v>2024</x:v>
      </x:c>
      <x:c r="C87" s="34" t="n">
        <x:v>123802</x:v>
      </x:c>
      <x:c r="D87" t="str">
        <x:v>USD millones</x:v>
      </x:c>
      <x:c r="E87" t="str">
        <x:v>Abr-2026</x:v>
      </x:c>
      <x:c r="F87" t="str">
        <x:v>Histórico / estimado</x:v>
      </x:c>
    </x:row>
    <x:row r="88">
      <x:c r="A88" t="str">
        <x:v>PIB Nominal (USD mn)</x:v>
      </x:c>
      <x:c r="B88" s="33" t="n">
        <x:v>2025</x:v>
      </x:c>
      <x:c r="C88" s="34" t="n">
        <x:v>130321</x:v>
      </x:c>
      <x:c r="D88" t="str">
        <x:v>USD millones</x:v>
      </x:c>
      <x:c r="E88" t="str">
        <x:v>Abr-2026</x:v>
      </x:c>
      <x:c r="F88" t="str">
        <x:v>Histórico / estimado</x:v>
      </x:c>
    </x:row>
    <x:row r="89">
      <x:c r="A89" t="str">
        <x:v>Reservas Internacionales (USD mn)</x:v>
      </x:c>
      <x:c r="B89" s="33" t="n">
        <x:v>2014</x:v>
      </x:c>
      <x:c r="C89" s="34" t="n">
        <x:v>3762</x:v>
      </x:c>
      <x:c r="D89" t="str">
        <x:v>USD millones</x:v>
      </x:c>
      <x:c r="E89" t="str">
        <x:v>Mar-2019</x:v>
      </x:c>
      <x:c r="F89" t="str">
        <x:v>Histórico / estimado</x:v>
      </x:c>
    </x:row>
    <x:row r="90">
      <x:c r="A90" t="str">
        <x:v>Reservas Internacionales (USD mn)</x:v>
      </x:c>
      <x:c r="B90" s="33" t="n">
        <x:v>2015</x:v>
      </x:c>
      <x:c r="C90" s="34" t="n">
        <x:v>2351</x:v>
      </x:c>
      <x:c r="D90" t="str">
        <x:v>USD millones</x:v>
      </x:c>
      <x:c r="E90" t="str">
        <x:v>Mar-2019</x:v>
      </x:c>
      <x:c r="F90" t="str">
        <x:v>Histórico / estimado</x:v>
      </x:c>
    </x:row>
    <x:row r="91">
      <x:c r="A91" t="str">
        <x:v>Reservas Internacionales (USD mn)</x:v>
      </x:c>
      <x:c r="B91" s="33" t="n">
        <x:v>2016</x:v>
      </x:c>
      <x:c r="C91" s="34" t="n">
        <x:v>4216</x:v>
      </x:c>
      <x:c r="D91" t="str">
        <x:v>USD millones</x:v>
      </x:c>
      <x:c r="E91" t="str">
        <x:v>Mar-2019</x:v>
      </x:c>
      <x:c r="F91" t="str">
        <x:v>Histórico / estimado</x:v>
      </x:c>
    </x:row>
    <x:row r="92">
      <x:c r="A92" t="str">
        <x:v>Reservas Internacionales (USD mn)</x:v>
      </x:c>
      <x:c r="B92" s="33" t="n">
        <x:v>2017</x:v>
      </x:c>
      <x:c r="C92" s="34" t="n">
        <x:v>2006</x:v>
      </x:c>
      <x:c r="D92" t="str">
        <x:v>USD millones</x:v>
      </x:c>
      <x:c r="E92" t="str">
        <x:v>Mar-2019</x:v>
      </x:c>
      <x:c r="F92" t="str">
        <x:v>Histórico / estimado</x:v>
      </x:c>
    </x:row>
    <x:row r="93">
      <x:c r="A93" t="str">
        <x:v>Reservas Internacionales (USD mn)</x:v>
      </x:c>
      <x:c r="B93" s="33" t="n">
        <x:v>2018</x:v>
      </x:c>
      <x:c r="C93" s="34" t="n">
        <x:v>2158</x:v>
      </x:c>
      <x:c r="D93" t="str">
        <x:v>USD millones</x:v>
      </x:c>
      <x:c r="E93" t="str">
        <x:v>Oct-2021</x:v>
      </x:c>
      <x:c r="F93" t="str">
        <x:v>Histórico / estimado</x:v>
      </x:c>
    </x:row>
    <x:row r="94">
      <x:c r="A94" t="str">
        <x:v>Reservas Internacionales (USD mn)</x:v>
      </x:c>
      <x:c r="B94" s="33" t="n">
        <x:v>2019</x:v>
      </x:c>
      <x:c r="C94" s="34" t="n">
        <x:v>2933</x:v>
      </x:c>
      <x:c r="D94" t="str">
        <x:v>USD millones</x:v>
      </x:c>
      <x:c r="E94" t="str">
        <x:v>Oct-2021</x:v>
      </x:c>
      <x:c r="F94" t="str">
        <x:v>Histórico / estimado</x:v>
      </x:c>
    </x:row>
    <x:row r="95">
      <x:c r="A95" t="str">
        <x:v>Reservas Internacionales (USD mn)</x:v>
      </x:c>
      <x:c r="B95" s="33" t="n">
        <x:v>2020</x:v>
      </x:c>
      <x:c r="C95" s="34" t="n">
        <x:v>7133</x:v>
      </x:c>
      <x:c r="D95" t="str">
        <x:v>USD millones</x:v>
      </x:c>
      <x:c r="E95" t="str">
        <x:v>Nov-2022</x:v>
      </x:c>
      <x:c r="F95" t="str">
        <x:v>Histórico / estimado</x:v>
      </x:c>
    </x:row>
    <x:row r="96">
      <x:c r="A96" t="str">
        <x:v>Reservas Internacionales (USD mn)</x:v>
      </x:c>
      <x:c r="B96" s="33" t="n">
        <x:v>2021</x:v>
      </x:c>
      <x:c r="C96" s="34" t="n">
        <x:v>7898</x:v>
      </x:c>
      <x:c r="D96" t="str">
        <x:v>USD millones</x:v>
      </x:c>
      <x:c r="E96" t="str">
        <x:v>Nov-2022</x:v>
      </x:c>
      <x:c r="F96" t="str">
        <x:v>Histórico / estimado</x:v>
      </x:c>
    </x:row>
    <x:row r="97">
      <x:c r="A97" t="str">
        <x:v>Reservas Internacionales (USD mn)</x:v>
      </x:c>
      <x:c r="B97" s="33" t="n">
        <x:v>2022</x:v>
      </x:c>
      <x:c r="C97" s="34" t="n">
        <x:v>8459</x:v>
      </x:c>
      <x:c r="D97" t="str">
        <x:v>USD millones</x:v>
      </x:c>
      <x:c r="E97" t="str">
        <x:v>Dic-2024</x:v>
      </x:c>
      <x:c r="F97" t="str">
        <x:v>Histórico / estimado</x:v>
      </x:c>
    </x:row>
    <x:row r="98">
      <x:c r="A98" t="str">
        <x:v>Reservas Internacionales (USD mn)</x:v>
      </x:c>
      <x:c r="B98" s="33" t="n">
        <x:v>2023</x:v>
      </x:c>
      <x:c r="C98" s="34" t="n">
        <x:v>4455</x:v>
      </x:c>
      <x:c r="D98" t="str">
        <x:v>USD millones</x:v>
      </x:c>
      <x:c r="E98" t="str">
        <x:v>Abr-2026</x:v>
      </x:c>
      <x:c r="F98" t="str">
        <x:v>Histórico / estimado</x:v>
      </x:c>
    </x:row>
    <x:row r="99">
      <x:c r="A99" t="str">
        <x:v>Reservas Internacionales (USD mn)</x:v>
      </x:c>
      <x:c r="B99" s="33" t="n">
        <x:v>2024</x:v>
      </x:c>
      <x:c r="C99" s="34" t="n">
        <x:v>6908</x:v>
      </x:c>
      <x:c r="D99" t="str">
        <x:v>USD millones</x:v>
      </x:c>
      <x:c r="E99" t="str">
        <x:v>Abr-2026</x:v>
      </x:c>
      <x:c r="F99" t="str">
        <x:v>Histórico / estimado</x:v>
      </x:c>
    </x:row>
    <x:row r="100">
      <x:c r="A100" t="str">
        <x:v>Reservas Internacionales (USD mn)</x:v>
      </x:c>
      <x:c r="B100" s="33" t="n">
        <x:v>2025</x:v>
      </x:c>
      <x:c r="C100" s="34" t="n">
        <x:v>9803</x:v>
      </x:c>
      <x:c r="D100" t="str">
        <x:v>USD millones</x:v>
      </x:c>
      <x:c r="E100" t="str">
        <x:v>Abr-2026</x:v>
      </x:c>
      <x:c r="F100" t="str">
        <x:v>Histórico / estimado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99fc8adf5c24a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2" hidden="0" customWidth="1"/>
  </x:cols>
  <x:sheetData>
    <x:row r="1" ht="34" customHeight="1">
      <x:c r="A1" s="3" t="str">
        <x:v>Pronósticos por vintage</x:v>
      </x:c>
      <x:c r="B1" s="3"/>
      <x:c r="C1" s="3"/>
      <x:c r="D1" s="3"/>
      <x:c r="E1" s="3"/>
      <x:c r="F1" s="3"/>
      <x:c r="G1" s="3"/>
    </x:row>
    <x:row r="2" ht="24" customHeight="1">
      <x:c r="A2" s="6" t="str">
        <x:v>Cada fila conserva el valor publicado en el Country Report correspondiente</x:v>
      </x:c>
      <x:c r="B2" s="6"/>
      <x:c r="C2" s="6"/>
      <x:c r="D2" s="6"/>
      <x:c r="E2" s="6"/>
      <x:c r="F2" s="6"/>
      <x:c r="G2" s="6"/>
    </x:row>
    <x:row r="4" ht="22" customHeight="1">
      <x:c r="A4" s="11" t="str">
        <x:v>Vintage</x:v>
      </x:c>
      <x:c r="B4" s="16" t="str">
        <x:v>Variable</x:v>
      </x:c>
      <x:c r="C4" s="16" t="str">
        <x:v>Año</x:v>
      </x:c>
      <x:c r="D4" s="16" t="str">
        <x:v>Pronóstico</x:v>
      </x:c>
      <x:c r="E4" s="16" t="str">
        <x:v>Unidad</x:v>
      </x:c>
      <x:c r="F4" s="16" t="str">
        <x:v>Inicio proyección</x:v>
      </x:c>
      <x:c r="G4" s="12" t="str">
        <x:v>Country Report</x:v>
      </x:c>
    </x:row>
    <x:row r="5">
      <x:c r="A5" t="str">
        <x:v>Mar-2019</x:v>
      </x:c>
      <x:c r="B5" t="str">
        <x:v>Real GDP (%)</x:v>
      </x:c>
      <x:c r="C5" s="33" t="n">
        <x:v>2019</x:v>
      </x:c>
      <x:c r="D5" s="34" t="n">
        <x:v>-0.5</x:v>
      </x:c>
      <x:c r="E5" t="str">
        <x:v>%</x:v>
      </x:c>
      <x:c r="F5" t="n">
        <x:v>2019</x:v>
      </x:c>
      <x:c r="G5" t="str">
        <x:v>IMF Country Report No. 19/79</x:v>
      </x:c>
    </x:row>
    <x:row r="6">
      <x:c r="A6" t="str">
        <x:v>Mar-2019</x:v>
      </x:c>
      <x:c r="B6" t="str">
        <x:v>Real GDP (%)</x:v>
      </x:c>
      <x:c r="C6" s="33" t="n">
        <x:v>2020</x:v>
      </x:c>
      <x:c r="D6" s="34" t="n">
        <x:v>0.2</x:v>
      </x:c>
      <x:c r="E6" t="str">
        <x:v>%</x:v>
      </x:c>
      <x:c r="F6" t="n">
        <x:v>2019</x:v>
      </x:c>
      <x:c r="G6" t="str">
        <x:v>IMF Country Report No. 19/79</x:v>
      </x:c>
    </x:row>
    <x:row r="7">
      <x:c r="A7" t="str">
        <x:v>Mar-2019</x:v>
      </x:c>
      <x:c r="B7" t="str">
        <x:v>Real GDP (%)</x:v>
      </x:c>
      <x:c r="C7" s="33" t="n">
        <x:v>2021</x:v>
      </x:c>
      <x:c r="D7" s="34" t="n">
        <x:v>1.2</x:v>
      </x:c>
      <x:c r="E7" t="str">
        <x:v>%</x:v>
      </x:c>
      <x:c r="F7" t="n">
        <x:v>2019</x:v>
      </x:c>
      <x:c r="G7" t="str">
        <x:v>IMF Country Report No. 19/79</x:v>
      </x:c>
    </x:row>
    <x:row r="8">
      <x:c r="A8" t="str">
        <x:v>Mar-2019</x:v>
      </x:c>
      <x:c r="B8" t="str">
        <x:v>Real GDP (%)</x:v>
      </x:c>
      <x:c r="C8" s="33" t="n">
        <x:v>2022</x:v>
      </x:c>
      <x:c r="D8" s="34" t="n">
        <x:v>2.7</x:v>
      </x:c>
      <x:c r="E8" t="str">
        <x:v>%</x:v>
      </x:c>
      <x:c r="F8" t="n">
        <x:v>2019</x:v>
      </x:c>
      <x:c r="G8" t="str">
        <x:v>IMF Country Report No. 19/79</x:v>
      </x:c>
    </x:row>
    <x:row r="9">
      <x:c r="A9" t="str">
        <x:v>Mar-2019</x:v>
      </x:c>
      <x:c r="B9" t="str">
        <x:v>Real GDP (%)</x:v>
      </x:c>
      <x:c r="C9" s="33" t="n">
        <x:v>2023</x:v>
      </x:c>
      <x:c r="D9" s="34" t="n">
        <x:v>2.3</x:v>
      </x:c>
      <x:c r="E9" t="str">
        <x:v>%</x:v>
      </x:c>
      <x:c r="F9" t="n">
        <x:v>2019</x:v>
      </x:c>
      <x:c r="G9" t="str">
        <x:v>IMF Country Report No. 19/79</x:v>
      </x:c>
    </x:row>
    <x:row r="10">
      <x:c r="A10" t="str">
        <x:v>Mar-2019</x:v>
      </x:c>
      <x:c r="B10" t="str">
        <x:v>Inflación promedio (%)</x:v>
      </x:c>
      <x:c r="C10" s="33" t="n">
        <x:v>2019</x:v>
      </x:c>
      <x:c r="D10" s="34" t="n">
        <x:v>0.6</x:v>
      </x:c>
      <x:c r="E10" t="str">
        <x:v>%</x:v>
      </x:c>
      <x:c r="F10" t="n">
        <x:v>2019</x:v>
      </x:c>
      <x:c r="G10" t="str">
        <x:v>IMF Country Report No. 19/79</x:v>
      </x:c>
    </x:row>
    <x:row r="11">
      <x:c r="A11" t="str">
        <x:v>Mar-2019</x:v>
      </x:c>
      <x:c r="B11" t="str">
        <x:v>Inflación promedio (%)</x:v>
      </x:c>
      <x:c r="C11" s="33" t="n">
        <x:v>2020</x:v>
      </x:c>
      <x:c r="D11" s="34" t="n">
        <x:v>1.2</x:v>
      </x:c>
      <x:c r="E11" t="str">
        <x:v>%</x:v>
      </x:c>
      <x:c r="F11" t="n">
        <x:v>2019</x:v>
      </x:c>
      <x:c r="G11" t="str">
        <x:v>IMF Country Report No. 19/79</x:v>
      </x:c>
    </x:row>
    <x:row r="12">
      <x:c r="A12" t="str">
        <x:v>Mar-2019</x:v>
      </x:c>
      <x:c r="B12" t="str">
        <x:v>Inflación promedio (%)</x:v>
      </x:c>
      <x:c r="C12" s="33" t="n">
        <x:v>2021</x:v>
      </x:c>
      <x:c r="D12" s="34" t="n">
        <x:v>1.6</x:v>
      </x:c>
      <x:c r="E12" t="str">
        <x:v>%</x:v>
      </x:c>
      <x:c r="F12" t="n">
        <x:v>2019</x:v>
      </x:c>
      <x:c r="G12" t="str">
        <x:v>IMF Country Report No. 19/79</x:v>
      </x:c>
    </x:row>
    <x:row r="13">
      <x:c r="A13" t="str">
        <x:v>Mar-2019</x:v>
      </x:c>
      <x:c r="B13" t="str">
        <x:v>Inflación promedio (%)</x:v>
      </x:c>
      <x:c r="C13" s="33" t="n">
        <x:v>2022</x:v>
      </x:c>
      <x:c r="D13" s="34" t="n">
        <x:v>1.3</x:v>
      </x:c>
      <x:c r="E13" t="str">
        <x:v>%</x:v>
      </x:c>
      <x:c r="F13" t="n">
        <x:v>2019</x:v>
      </x:c>
      <x:c r="G13" t="str">
        <x:v>IMF Country Report No. 19/79</x:v>
      </x:c>
    </x:row>
    <x:row r="14">
      <x:c r="A14" t="str">
        <x:v>Mar-2019</x:v>
      </x:c>
      <x:c r="B14" t="str">
        <x:v>Inflación promedio (%)</x:v>
      </x:c>
      <x:c r="C14" s="33" t="n">
        <x:v>2023</x:v>
      </x:c>
      <x:c r="D14" s="34" t="n">
        <x:v>1.1</x:v>
      </x:c>
      <x:c r="E14" t="str">
        <x:v>%</x:v>
      </x:c>
      <x:c r="F14" t="n">
        <x:v>2019</x:v>
      </x:c>
      <x:c r="G14" t="str">
        <x:v>IMF Country Report No. 19/79</x:v>
      </x:c>
    </x:row>
    <x:row r="15">
      <x:c r="A15" t="str">
        <x:v>Mar-2019</x:v>
      </x:c>
      <x:c r="B15" t="str">
        <x:v>Cuenta Corriente (% PIB)</x:v>
      </x:c>
      <x:c r="C15" s="33" t="n">
        <x:v>2019</x:v>
      </x:c>
      <x:c r="D15" s="34" t="n">
        <x:v>0.4</x:v>
      </x:c>
      <x:c r="E15" t="str">
        <x:v>% del PIB</x:v>
      </x:c>
      <x:c r="F15" t="n">
        <x:v>2019</x:v>
      </x:c>
      <x:c r="G15" t="str">
        <x:v>IMF Country Report No. 19/79</x:v>
      </x:c>
    </x:row>
    <x:row r="16">
      <x:c r="A16" t="str">
        <x:v>Mar-2019</x:v>
      </x:c>
      <x:c r="B16" t="str">
        <x:v>Cuenta Corriente (% PIB)</x:v>
      </x:c>
      <x:c r="C16" s="33" t="n">
        <x:v>2020</x:v>
      </x:c>
      <x:c r="D16" s="34" t="n">
        <x:v>1.4</x:v>
      </x:c>
      <x:c r="E16" t="str">
        <x:v>% del PIB</x:v>
      </x:c>
      <x:c r="F16" t="n">
        <x:v>2019</x:v>
      </x:c>
      <x:c r="G16" t="str">
        <x:v>IMF Country Report No. 19/79</x:v>
      </x:c>
    </x:row>
    <x:row r="17">
      <x:c r="A17" t="str">
        <x:v>Mar-2019</x:v>
      </x:c>
      <x:c r="B17" t="str">
        <x:v>Cuenta Corriente (% PIB)</x:v>
      </x:c>
      <x:c r="C17" s="33" t="n">
        <x:v>2021</x:v>
      </x:c>
      <x:c r="D17" s="34" t="n">
        <x:v>1.5</x:v>
      </x:c>
      <x:c r="E17" t="str">
        <x:v>% del PIB</x:v>
      </x:c>
      <x:c r="F17" t="n">
        <x:v>2019</x:v>
      </x:c>
      <x:c r="G17" t="str">
        <x:v>IMF Country Report No. 19/79</x:v>
      </x:c>
    </x:row>
    <x:row r="18">
      <x:c r="A18" t="str">
        <x:v>Mar-2019</x:v>
      </x:c>
      <x:c r="B18" t="str">
        <x:v>Cuenta Corriente (% PIB)</x:v>
      </x:c>
      <x:c r="C18" s="33" t="n">
        <x:v>2022</x:v>
      </x:c>
      <x:c r="D18" s="34" t="n">
        <x:v>1.5</x:v>
      </x:c>
      <x:c r="E18" t="str">
        <x:v>% del PIB</x:v>
      </x:c>
      <x:c r="F18" t="n">
        <x:v>2019</x:v>
      </x:c>
      <x:c r="G18" t="str">
        <x:v>IMF Country Report No. 19/79</x:v>
      </x:c>
    </x:row>
    <x:row r="19">
      <x:c r="A19" t="str">
        <x:v>Mar-2019</x:v>
      </x:c>
      <x:c r="B19" t="str">
        <x:v>Cuenta Corriente (% PIB)</x:v>
      </x:c>
      <x:c r="C19" s="33" t="n">
        <x:v>2023</x:v>
      </x:c>
      <x:c r="D19" s="34" t="n">
        <x:v>1.7</x:v>
      </x:c>
      <x:c r="E19" t="str">
        <x:v>% del PIB</x:v>
      </x:c>
      <x:c r="F19" t="n">
        <x:v>2019</x:v>
      </x:c>
      <x:c r="G19" t="str">
        <x:v>IMF Country Report No. 19/79</x:v>
      </x:c>
    </x:row>
    <x:row r="20">
      <x:c r="A20" t="str">
        <x:v>Mar-2019</x:v>
      </x:c>
      <x:c r="B20" t="str">
        <x:v>Balance Fiscal NFPS (% PIB)</x:v>
      </x:c>
      <x:c r="C20" s="33" t="n">
        <x:v>2019</x:v>
      </x:c>
      <x:c r="D20" s="34" t="n">
        <x:v>0</x:v>
      </x:c>
      <x:c r="E20" t="str">
        <x:v>% del PIB</x:v>
      </x:c>
      <x:c r="F20" t="n">
        <x:v>2019</x:v>
      </x:c>
      <x:c r="G20" t="str">
        <x:v>IMF Country Report No. 19/79</x:v>
      </x:c>
    </x:row>
    <x:row r="21">
      <x:c r="A21" t="str">
        <x:v>Mar-2019</x:v>
      </x:c>
      <x:c r="B21" t="str">
        <x:v>Balance Fiscal NFPS (% PIB)</x:v>
      </x:c>
      <x:c r="C21" s="33" t="n">
        <x:v>2020</x:v>
      </x:c>
      <x:c r="D21" s="34" t="n">
        <x:v>3.8</x:v>
      </x:c>
      <x:c r="E21" t="str">
        <x:v>% del PIB</x:v>
      </x:c>
      <x:c r="F21" t="n">
        <x:v>2019</x:v>
      </x:c>
      <x:c r="G21" t="str">
        <x:v>IMF Country Report No. 19/79</x:v>
      </x:c>
    </x:row>
    <x:row r="22">
      <x:c r="A22" t="str">
        <x:v>Mar-2019</x:v>
      </x:c>
      <x:c r="B22" t="str">
        <x:v>Balance Fiscal NFPS (% PIB)</x:v>
      </x:c>
      <x:c r="C22" s="33" t="n">
        <x:v>2021</x:v>
      </x:c>
      <x:c r="D22" s="34" t="n">
        <x:v>2.9</x:v>
      </x:c>
      <x:c r="E22" t="str">
        <x:v>% del PIB</x:v>
      </x:c>
      <x:c r="F22" t="n">
        <x:v>2019</x:v>
      </x:c>
      <x:c r="G22" t="str">
        <x:v>IMF Country Report No. 19/79</x:v>
      </x:c>
    </x:row>
    <x:row r="23">
      <x:c r="A23" t="str">
        <x:v>Mar-2019</x:v>
      </x:c>
      <x:c r="B23" t="str">
        <x:v>Balance Fiscal NFPS (% PIB)</x:v>
      </x:c>
      <x:c r="C23" s="33" t="n">
        <x:v>2022</x:v>
      </x:c>
      <x:c r="D23" s="34" t="n">
        <x:v>2.8</x:v>
      </x:c>
      <x:c r="E23" t="str">
        <x:v>% del PIB</x:v>
      </x:c>
      <x:c r="F23" t="n">
        <x:v>2019</x:v>
      </x:c>
      <x:c r="G23" t="str">
        <x:v>IMF Country Report No. 19/79</x:v>
      </x:c>
    </x:row>
    <x:row r="24">
      <x:c r="A24" t="str">
        <x:v>Mar-2019</x:v>
      </x:c>
      <x:c r="B24" t="str">
        <x:v>Balance Fiscal NFPS (% PIB)</x:v>
      </x:c>
      <x:c r="C24" s="33" t="n">
        <x:v>2023</x:v>
      </x:c>
      <x:c r="D24" s="34" t="n">
        <x:v>2.9</x:v>
      </x:c>
      <x:c r="E24" t="str">
        <x:v>% del PIB</x:v>
      </x:c>
      <x:c r="F24" t="n">
        <x:v>2019</x:v>
      </x:c>
      <x:c r="G24" t="str">
        <x:v>IMF Country Report No. 19/79</x:v>
      </x:c>
    </x:row>
    <x:row r="25">
      <x:c r="A25" t="str">
        <x:v>Mar-2019</x:v>
      </x:c>
      <x:c r="B25" t="str">
        <x:v>Deuda Pública (% PIB)</x:v>
      </x:c>
      <x:c r="C25" s="33" t="n">
        <x:v>2019</x:v>
      </x:c>
      <x:c r="D25" s="34" t="n">
        <x:v>49.2</x:v>
      </x:c>
      <x:c r="E25" t="str">
        <x:v>% del PIB</x:v>
      </x:c>
      <x:c r="F25" t="n">
        <x:v>2019</x:v>
      </x:c>
      <x:c r="G25" t="str">
        <x:v>IMF Country Report No. 19/79</x:v>
      </x:c>
    </x:row>
    <x:row r="26">
      <x:c r="A26" t="str">
        <x:v>Mar-2019</x:v>
      </x:c>
      <x:c r="B26" t="str">
        <x:v>Deuda Pública (% PIB)</x:v>
      </x:c>
      <x:c r="C26" s="33" t="n">
        <x:v>2020</x:v>
      </x:c>
      <x:c r="D26" s="34" t="n">
        <x:v>46.8</x:v>
      </x:c>
      <x:c r="E26" t="str">
        <x:v>% del PIB</x:v>
      </x:c>
      <x:c r="F26" t="n">
        <x:v>2019</x:v>
      </x:c>
      <x:c r="G26" t="str">
        <x:v>IMF Country Report No. 19/79</x:v>
      </x:c>
    </x:row>
    <x:row r="27">
      <x:c r="A27" t="str">
        <x:v>Mar-2019</x:v>
      </x:c>
      <x:c r="B27" t="str">
        <x:v>Deuda Pública (% PIB)</x:v>
      </x:c>
      <x:c r="C27" s="33" t="n">
        <x:v>2021</x:v>
      </x:c>
      <x:c r="D27" s="34" t="n">
        <x:v>45.2</x:v>
      </x:c>
      <x:c r="E27" t="str">
        <x:v>% del PIB</x:v>
      </x:c>
      <x:c r="F27" t="n">
        <x:v>2019</x:v>
      </x:c>
      <x:c r="G27" t="str">
        <x:v>IMF Country Report No. 19/79</x:v>
      </x:c>
    </x:row>
    <x:row r="28">
      <x:c r="A28" t="str">
        <x:v>Mar-2019</x:v>
      </x:c>
      <x:c r="B28" t="str">
        <x:v>Deuda Pública (% PIB)</x:v>
      </x:c>
      <x:c r="C28" s="33" t="n">
        <x:v>2022</x:v>
      </x:c>
      <x:c r="D28" s="34" t="n">
        <x:v>40.8</x:v>
      </x:c>
      <x:c r="E28" t="str">
        <x:v>% del PIB</x:v>
      </x:c>
      <x:c r="F28" t="n">
        <x:v>2019</x:v>
      </x:c>
      <x:c r="G28" t="str">
        <x:v>IMF Country Report No. 19/79</x:v>
      </x:c>
    </x:row>
    <x:row r="29">
      <x:c r="A29" t="str">
        <x:v>Mar-2019</x:v>
      </x:c>
      <x:c r="B29" t="str">
        <x:v>Deuda Pública (% PIB)</x:v>
      </x:c>
      <x:c r="C29" s="33" t="n">
        <x:v>2023</x:v>
      </x:c>
      <x:c r="D29" s="34" t="n">
        <x:v>36.6</x:v>
      </x:c>
      <x:c r="E29" t="str">
        <x:v>% del PIB</x:v>
      </x:c>
      <x:c r="F29" t="n">
        <x:v>2019</x:v>
      </x:c>
      <x:c r="G29" t="str">
        <x:v>IMF Country Report No. 19/79</x:v>
      </x:c>
    </x:row>
    <x:row r="30">
      <x:c r="A30" t="str">
        <x:v>Mar-2019</x:v>
      </x:c>
      <x:c r="B30" t="str">
        <x:v>Precio Petróleo Ecuador (USD/bbl)</x:v>
      </x:c>
      <x:c r="C30" s="33" t="n">
        <x:v>2019</x:v>
      </x:c>
      <x:c r="D30" s="34" t="n">
        <x:v>47.8</x:v>
      </x:c>
      <x:c r="E30" t="str">
        <x:v>USD/barril</x:v>
      </x:c>
      <x:c r="F30" t="n">
        <x:v>2019</x:v>
      </x:c>
      <x:c r="G30" t="str">
        <x:v>IMF Country Report No. 19/79</x:v>
      </x:c>
    </x:row>
    <x:row r="31">
      <x:c r="A31" t="str">
        <x:v>Mar-2019</x:v>
      </x:c>
      <x:c r="B31" t="str">
        <x:v>Precio Petróleo Ecuador (USD/bbl)</x:v>
      </x:c>
      <x:c r="C31" s="33" t="n">
        <x:v>2020</x:v>
      </x:c>
      <x:c r="D31" s="34" t="n">
        <x:v>48.7</x:v>
      </x:c>
      <x:c r="E31" t="str">
        <x:v>USD/barril</x:v>
      </x:c>
      <x:c r="F31" t="n">
        <x:v>2019</x:v>
      </x:c>
      <x:c r="G31" t="str">
        <x:v>IMF Country Report No. 19/79</x:v>
      </x:c>
    </x:row>
    <x:row r="32">
      <x:c r="A32" t="str">
        <x:v>Mar-2019</x:v>
      </x:c>
      <x:c r="B32" t="str">
        <x:v>Precio Petróleo Ecuador (USD/bbl)</x:v>
      </x:c>
      <x:c r="C32" s="33" t="n">
        <x:v>2021</x:v>
      </x:c>
      <x:c r="D32" s="34" t="n">
        <x:v>49.4</x:v>
      </x:c>
      <x:c r="E32" t="str">
        <x:v>USD/barril</x:v>
      </x:c>
      <x:c r="F32" t="n">
        <x:v>2019</x:v>
      </x:c>
      <x:c r="G32" t="str">
        <x:v>IMF Country Report No. 19/79</x:v>
      </x:c>
    </x:row>
    <x:row r="33">
      <x:c r="A33" t="str">
        <x:v>Mar-2019</x:v>
      </x:c>
      <x:c r="B33" t="str">
        <x:v>Precio Petróleo Ecuador (USD/bbl)</x:v>
      </x:c>
      <x:c r="C33" s="33" t="n">
        <x:v>2022</x:v>
      </x:c>
      <x:c r="D33" s="34" t="n">
        <x:v>50</x:v>
      </x:c>
      <x:c r="E33" t="str">
        <x:v>USD/barril</x:v>
      </x:c>
      <x:c r="F33" t="n">
        <x:v>2019</x:v>
      </x:c>
      <x:c r="G33" t="str">
        <x:v>IMF Country Report No. 19/79</x:v>
      </x:c>
    </x:row>
    <x:row r="34">
      <x:c r="A34" t="str">
        <x:v>Mar-2019</x:v>
      </x:c>
      <x:c r="B34" t="str">
        <x:v>Precio Petróleo Ecuador (USD/bbl)</x:v>
      </x:c>
      <x:c r="C34" s="33" t="n">
        <x:v>2023</x:v>
      </x:c>
      <x:c r="D34" s="34" t="n">
        <x:v>50.7</x:v>
      </x:c>
      <x:c r="E34" t="str">
        <x:v>USD/barril</x:v>
      </x:c>
      <x:c r="F34" t="n">
        <x:v>2019</x:v>
      </x:c>
      <x:c r="G34" t="str">
        <x:v>IMF Country Report No. 19/79</x:v>
      </x:c>
    </x:row>
    <x:row r="35">
      <x:c r="A35" t="str">
        <x:v>Mar-2019</x:v>
      </x:c>
      <x:c r="B35" t="str">
        <x:v>PIB Nominal (USD mn)</x:v>
      </x:c>
      <x:c r="C35" s="33" t="n">
        <x:v>2019</x:v>
      </x:c>
      <x:c r="D35" s="34" t="n">
        <x:v>106289</x:v>
      </x:c>
      <x:c r="E35" t="str">
        <x:v>USD millones</x:v>
      </x:c>
      <x:c r="F35" t="n">
        <x:v>2019</x:v>
      </x:c>
      <x:c r="G35" t="str">
        <x:v>IMF Country Report No. 19/79</x:v>
      </x:c>
    </x:row>
    <x:row r="36">
      <x:c r="A36" t="str">
        <x:v>Mar-2019</x:v>
      </x:c>
      <x:c r="B36" t="str">
        <x:v>PIB Nominal (USD mn)</x:v>
      </x:c>
      <x:c r="C36" s="33" t="n">
        <x:v>2020</x:v>
      </x:c>
      <x:c r="D36" s="34" t="n">
        <x:v>107730</x:v>
      </x:c>
      <x:c r="E36" t="str">
        <x:v>USD millones</x:v>
      </x:c>
      <x:c r="F36" t="n">
        <x:v>2019</x:v>
      </x:c>
      <x:c r="G36" t="str">
        <x:v>IMF Country Report No. 19/79</x:v>
      </x:c>
    </x:row>
    <x:row r="37">
      <x:c r="A37" t="str">
        <x:v>Mar-2019</x:v>
      </x:c>
      <x:c r="B37" t="str">
        <x:v>PIB Nominal (USD mn)</x:v>
      </x:c>
      <x:c r="C37" s="33" t="n">
        <x:v>2021</x:v>
      </x:c>
      <x:c r="D37" s="34" t="n">
        <x:v>110571</x:v>
      </x:c>
      <x:c r="E37" t="str">
        <x:v>USD millones</x:v>
      </x:c>
      <x:c r="F37" t="n">
        <x:v>2019</x:v>
      </x:c>
      <x:c r="G37" t="str">
        <x:v>IMF Country Report No. 19/79</x:v>
      </x:c>
    </x:row>
    <x:row r="38">
      <x:c r="A38" t="str">
        <x:v>Mar-2019</x:v>
      </x:c>
      <x:c r="B38" t="str">
        <x:v>PIB Nominal (USD mn)</x:v>
      </x:c>
      <x:c r="C38" s="33" t="n">
        <x:v>2022</x:v>
      </x:c>
      <x:c r="D38" s="34" t="n">
        <x:v>114783</x:v>
      </x:c>
      <x:c r="E38" t="str">
        <x:v>USD millones</x:v>
      </x:c>
      <x:c r="F38" t="n">
        <x:v>2019</x:v>
      </x:c>
      <x:c r="G38" t="str">
        <x:v>IMF Country Report No. 19/79</x:v>
      </x:c>
    </x:row>
    <x:row r="39">
      <x:c r="A39" t="str">
        <x:v>Mar-2019</x:v>
      </x:c>
      <x:c r="B39" t="str">
        <x:v>PIB Nominal (USD mn)</x:v>
      </x:c>
      <x:c r="C39" s="33" t="n">
        <x:v>2023</x:v>
      </x:c>
      <x:c r="D39" s="34" t="n">
        <x:v>118502</x:v>
      </x:c>
      <x:c r="E39" t="str">
        <x:v>USD millones</x:v>
      </x:c>
      <x:c r="F39" t="n">
        <x:v>2019</x:v>
      </x:c>
      <x:c r="G39" t="str">
        <x:v>IMF Country Report No. 19/79</x:v>
      </x:c>
    </x:row>
    <x:row r="40">
      <x:c r="A40" t="str">
        <x:v>Mar-2019</x:v>
      </x:c>
      <x:c r="B40" t="str">
        <x:v>Reservas Internacionales (USD mn)</x:v>
      </x:c>
      <x:c r="C40" s="33" t="n">
        <x:v>2019</x:v>
      </x:c>
      <x:c r="D40" s="34" t="n">
        <x:v>4999</x:v>
      </x:c>
      <x:c r="E40" t="str">
        <x:v>USD millones</x:v>
      </x:c>
      <x:c r="F40" t="n">
        <x:v>2019</x:v>
      </x:c>
      <x:c r="G40" t="str">
        <x:v>IMF Country Report No. 19/79</x:v>
      </x:c>
    </x:row>
    <x:row r="41">
      <x:c r="A41" t="str">
        <x:v>Mar-2019</x:v>
      </x:c>
      <x:c r="B41" t="str">
        <x:v>Reservas Internacionales (USD mn)</x:v>
      </x:c>
      <x:c r="C41" s="33" t="n">
        <x:v>2020</x:v>
      </x:c>
      <x:c r="D41" s="34" t="n">
        <x:v>7761</x:v>
      </x:c>
      <x:c r="E41" t="str">
        <x:v>USD millones</x:v>
      </x:c>
      <x:c r="F41" t="n">
        <x:v>2019</x:v>
      </x:c>
      <x:c r="G41" t="str">
        <x:v>IMF Country Report No. 19/79</x:v>
      </x:c>
    </x:row>
    <x:row r="42">
      <x:c r="A42" t="str">
        <x:v>Mar-2019</x:v>
      </x:c>
      <x:c r="B42" t="str">
        <x:v>Reservas Internacionales (USD mn)</x:v>
      </x:c>
      <x:c r="C42" s="33" t="n">
        <x:v>2021</x:v>
      </x:c>
      <x:c r="D42" s="34" t="n">
        <x:v>11397</x:v>
      </x:c>
      <x:c r="E42" t="str">
        <x:v>USD millones</x:v>
      </x:c>
      <x:c r="F42" t="n">
        <x:v>2019</x:v>
      </x:c>
      <x:c r="G42" t="str">
        <x:v>IMF Country Report No. 19/79</x:v>
      </x:c>
    </x:row>
    <x:row r="43">
      <x:c r="A43" t="str">
        <x:v>Mar-2019</x:v>
      </x:c>
      <x:c r="B43" t="str">
        <x:v>Reservas Internacionales (USD mn)</x:v>
      </x:c>
      <x:c r="C43" s="33" t="n">
        <x:v>2022</x:v>
      </x:c>
      <x:c r="D43" s="34" t="n">
        <x:v>11845</x:v>
      </x:c>
      <x:c r="E43" t="str">
        <x:v>USD millones</x:v>
      </x:c>
      <x:c r="F43" t="n">
        <x:v>2019</x:v>
      </x:c>
      <x:c r="G43" t="str">
        <x:v>IMF Country Report No. 19/79</x:v>
      </x:c>
    </x:row>
    <x:row r="44">
      <x:c r="A44" t="str">
        <x:v>Mar-2019</x:v>
      </x:c>
      <x:c r="B44" t="str">
        <x:v>Reservas Internacionales (USD mn)</x:v>
      </x:c>
      <x:c r="C44" s="33" t="n">
        <x:v>2023</x:v>
      </x:c>
      <x:c r="D44" s="34" t="n">
        <x:v>12944</x:v>
      </x:c>
      <x:c r="E44" t="str">
        <x:v>USD millones</x:v>
      </x:c>
      <x:c r="F44" t="n">
        <x:v>2019</x:v>
      </x:c>
      <x:c r="G44" t="str">
        <x:v>IMF Country Report No. 19/79</x:v>
      </x:c>
    </x:row>
    <x:row r="45">
      <x:c r="A45" t="str">
        <x:v>Dic-2020</x:v>
      </x:c>
      <x:c r="B45" t="str">
        <x:v>Real GDP (%)</x:v>
      </x:c>
      <x:c r="C45" s="33" t="n">
        <x:v>2020</x:v>
      </x:c>
      <x:c r="D45" s="34" t="n">
        <x:v>-9.5</x:v>
      </x:c>
      <x:c r="E45" t="str">
        <x:v>%</x:v>
      </x:c>
      <x:c r="F45" t="n">
        <x:v>2020</x:v>
      </x:c>
      <x:c r="G45" t="str">
        <x:v>IMF Country Report No. 20/325</x:v>
      </x:c>
    </x:row>
    <x:row r="46">
      <x:c r="A46" t="str">
        <x:v>Dic-2020</x:v>
      </x:c>
      <x:c r="B46" t="str">
        <x:v>Real GDP (%)</x:v>
      </x:c>
      <x:c r="C46" s="33" t="n">
        <x:v>2021</x:v>
      </x:c>
      <x:c r="D46" s="34" t="n">
        <x:v>3.5</x:v>
      </x:c>
      <x:c r="E46" t="str">
        <x:v>%</x:v>
      </x:c>
      <x:c r="F46" t="n">
        <x:v>2020</x:v>
      </x:c>
      <x:c r="G46" t="str">
        <x:v>IMF Country Report No. 20/325</x:v>
      </x:c>
    </x:row>
    <x:row r="47">
      <x:c r="A47" t="str">
        <x:v>Dic-2020</x:v>
      </x:c>
      <x:c r="B47" t="str">
        <x:v>Real GDP (%)</x:v>
      </x:c>
      <x:c r="C47" s="33" t="n">
        <x:v>2022</x:v>
      </x:c>
      <x:c r="D47" s="34" t="n">
        <x:v>1.3</x:v>
      </x:c>
      <x:c r="E47" t="str">
        <x:v>%</x:v>
      </x:c>
      <x:c r="F47" t="n">
        <x:v>2020</x:v>
      </x:c>
      <x:c r="G47" t="str">
        <x:v>IMF Country Report No. 20/325</x:v>
      </x:c>
    </x:row>
    <x:row r="48">
      <x:c r="A48" t="str">
        <x:v>Dic-2020</x:v>
      </x:c>
      <x:c r="B48" t="str">
        <x:v>Real GDP (%)</x:v>
      </x:c>
      <x:c r="C48" s="33" t="n">
        <x:v>2023</x:v>
      </x:c>
      <x:c r="D48" s="34" t="n">
        <x:v>1.7</x:v>
      </x:c>
      <x:c r="E48" t="str">
        <x:v>%</x:v>
      </x:c>
      <x:c r="F48" t="n">
        <x:v>2020</x:v>
      </x:c>
      <x:c r="G48" t="str">
        <x:v>IMF Country Report No. 20/325</x:v>
      </x:c>
    </x:row>
    <x:row r="49">
      <x:c r="A49" t="str">
        <x:v>Dic-2020</x:v>
      </x:c>
      <x:c r="B49" t="str">
        <x:v>Real GDP (%)</x:v>
      </x:c>
      <x:c r="C49" s="33" t="n">
        <x:v>2024</x:v>
      </x:c>
      <x:c r="D49" s="34" t="n">
        <x:v>2</x:v>
      </x:c>
      <x:c r="E49" t="str">
        <x:v>%</x:v>
      </x:c>
      <x:c r="F49" t="n">
        <x:v>2020</x:v>
      </x:c>
      <x:c r="G49" t="str">
        <x:v>IMF Country Report No. 20/325</x:v>
      </x:c>
    </x:row>
    <x:row r="50">
      <x:c r="A50" t="str">
        <x:v>Dic-2020</x:v>
      </x:c>
      <x:c r="B50" t="str">
        <x:v>Real GDP (%)</x:v>
      </x:c>
      <x:c r="C50" s="33" t="n">
        <x:v>2025</x:v>
      </x:c>
      <x:c r="D50" s="34" t="n">
        <x:v>2.3</x:v>
      </x:c>
      <x:c r="E50" t="str">
        <x:v>%</x:v>
      </x:c>
      <x:c r="F50" t="n">
        <x:v>2020</x:v>
      </x:c>
      <x:c r="G50" t="str">
        <x:v>IMF Country Report No. 20/325</x:v>
      </x:c>
    </x:row>
    <x:row r="51">
      <x:c r="A51" t="str">
        <x:v>Dic-2020</x:v>
      </x:c>
      <x:c r="B51" t="str">
        <x:v>Inflación promedio (%)</x:v>
      </x:c>
      <x:c r="C51" s="33" t="n">
        <x:v>2020</x:v>
      </x:c>
      <x:c r="D51" s="34" t="n">
        <x:v>-0.3</x:v>
      </x:c>
      <x:c r="E51" t="str">
        <x:v>%</x:v>
      </x:c>
      <x:c r="F51" t="n">
        <x:v>2020</x:v>
      </x:c>
      <x:c r="G51" t="str">
        <x:v>IMF Country Report No. 20/325</x:v>
      </x:c>
    </x:row>
    <x:row r="52">
      <x:c r="A52" t="str">
        <x:v>Dic-2020</x:v>
      </x:c>
      <x:c r="B52" t="str">
        <x:v>Inflación promedio (%)</x:v>
      </x:c>
      <x:c r="C52" s="33" t="n">
        <x:v>2021</x:v>
      </x:c>
      <x:c r="D52" s="34" t="n">
        <x:v>1</x:v>
      </x:c>
      <x:c r="E52" t="str">
        <x:v>%</x:v>
      </x:c>
      <x:c r="F52" t="n">
        <x:v>2020</x:v>
      </x:c>
      <x:c r="G52" t="str">
        <x:v>IMF Country Report No. 20/325</x:v>
      </x:c>
    </x:row>
    <x:row r="53">
      <x:c r="A53" t="str">
        <x:v>Dic-2020</x:v>
      </x:c>
      <x:c r="B53" t="str">
        <x:v>Inflación promedio (%)</x:v>
      </x:c>
      <x:c r="C53" s="33" t="n">
        <x:v>2022</x:v>
      </x:c>
      <x:c r="D53" s="34" t="n">
        <x:v>2.4</x:v>
      </x:c>
      <x:c r="E53" t="str">
        <x:v>%</x:v>
      </x:c>
      <x:c r="F53" t="n">
        <x:v>2020</x:v>
      </x:c>
      <x:c r="G53" t="str">
        <x:v>IMF Country Report No. 20/325</x:v>
      </x:c>
    </x:row>
    <x:row r="54">
      <x:c r="A54" t="str">
        <x:v>Dic-2020</x:v>
      </x:c>
      <x:c r="B54" t="str">
        <x:v>Inflación promedio (%)</x:v>
      </x:c>
      <x:c r="C54" s="33" t="n">
        <x:v>2023</x:v>
      </x:c>
      <x:c r="D54" s="34" t="n">
        <x:v>1.4</x:v>
      </x:c>
      <x:c r="E54" t="str">
        <x:v>%</x:v>
      </x:c>
      <x:c r="F54" t="n">
        <x:v>2020</x:v>
      </x:c>
      <x:c r="G54" t="str">
        <x:v>IMF Country Report No. 20/325</x:v>
      </x:c>
    </x:row>
    <x:row r="55">
      <x:c r="A55" t="str">
        <x:v>Dic-2020</x:v>
      </x:c>
      <x:c r="B55" t="str">
        <x:v>Inflación promedio (%)</x:v>
      </x:c>
      <x:c r="C55" s="33" t="n">
        <x:v>2024</x:v>
      </x:c>
      <x:c r="D55" s="34" t="n">
        <x:v>1</x:v>
      </x:c>
      <x:c r="E55" t="str">
        <x:v>%</x:v>
      </x:c>
      <x:c r="F55" t="n">
        <x:v>2020</x:v>
      </x:c>
      <x:c r="G55" t="str">
        <x:v>IMF Country Report No. 20/325</x:v>
      </x:c>
    </x:row>
    <x:row r="56">
      <x:c r="A56" t="str">
        <x:v>Dic-2020</x:v>
      </x:c>
      <x:c r="B56" t="str">
        <x:v>Inflación promedio (%)</x:v>
      </x:c>
      <x:c r="C56" s="33" t="n">
        <x:v>2025</x:v>
      </x:c>
      <x:c r="D56" s="34" t="n">
        <x:v>1</x:v>
      </x:c>
      <x:c r="E56" t="str">
        <x:v>%</x:v>
      </x:c>
      <x:c r="F56" t="n">
        <x:v>2020</x:v>
      </x:c>
      <x:c r="G56" t="str">
        <x:v>IMF Country Report No. 20/325</x:v>
      </x:c>
    </x:row>
    <x:row r="57">
      <x:c r="A57" t="str">
        <x:v>Dic-2020</x:v>
      </x:c>
      <x:c r="B57" t="str">
        <x:v>Cuenta Corriente (% PIB)</x:v>
      </x:c>
      <x:c r="C57" s="33" t="n">
        <x:v>2020</x:v>
      </x:c>
      <x:c r="D57" s="34" t="n">
        <x:v>-0.6</x:v>
      </x:c>
      <x:c r="E57" t="str">
        <x:v>% del PIB</x:v>
      </x:c>
      <x:c r="F57" t="n">
        <x:v>2020</x:v>
      </x:c>
      <x:c r="G57" t="str">
        <x:v>IMF Country Report No. 20/325</x:v>
      </x:c>
    </x:row>
    <x:row r="58">
      <x:c r="A58" t="str">
        <x:v>Dic-2020</x:v>
      </x:c>
      <x:c r="B58" t="str">
        <x:v>Cuenta Corriente (% PIB)</x:v>
      </x:c>
      <x:c r="C58" s="33" t="n">
        <x:v>2021</x:v>
      </x:c>
      <x:c r="D58" s="34" t="n">
        <x:v>1</x:v>
      </x:c>
      <x:c r="E58" t="str">
        <x:v>% del PIB</x:v>
      </x:c>
      <x:c r="F58" t="n">
        <x:v>2020</x:v>
      </x:c>
      <x:c r="G58" t="str">
        <x:v>IMF Country Report No. 20/325</x:v>
      </x:c>
    </x:row>
    <x:row r="59">
      <x:c r="A59" t="str">
        <x:v>Dic-2020</x:v>
      </x:c>
      <x:c r="B59" t="str">
        <x:v>Cuenta Corriente (% PIB)</x:v>
      </x:c>
      <x:c r="C59" s="33" t="n">
        <x:v>2022</x:v>
      </x:c>
      <x:c r="D59" s="34" t="n">
        <x:v>1.6</x:v>
      </x:c>
      <x:c r="E59" t="str">
        <x:v>% del PIB</x:v>
      </x:c>
      <x:c r="F59" t="n">
        <x:v>2020</x:v>
      </x:c>
      <x:c r="G59" t="str">
        <x:v>IMF Country Report No. 20/325</x:v>
      </x:c>
    </x:row>
    <x:row r="60">
      <x:c r="A60" t="str">
        <x:v>Dic-2020</x:v>
      </x:c>
      <x:c r="B60" t="str">
        <x:v>Cuenta Corriente (% PIB)</x:v>
      </x:c>
      <x:c r="C60" s="33" t="n">
        <x:v>2023</x:v>
      </x:c>
      <x:c r="D60" s="34" t="n">
        <x:v>2</x:v>
      </x:c>
      <x:c r="E60" t="str">
        <x:v>% del PIB</x:v>
      </x:c>
      <x:c r="F60" t="n">
        <x:v>2020</x:v>
      </x:c>
      <x:c r="G60" t="str">
        <x:v>IMF Country Report No. 20/325</x:v>
      </x:c>
    </x:row>
    <x:row r="61">
      <x:c r="A61" t="str">
        <x:v>Dic-2020</x:v>
      </x:c>
      <x:c r="B61" t="str">
        <x:v>Cuenta Corriente (% PIB)</x:v>
      </x:c>
      <x:c r="C61" s="33" t="n">
        <x:v>2024</x:v>
      </x:c>
      <x:c r="D61" s="34" t="n">
        <x:v>2.1</x:v>
      </x:c>
      <x:c r="E61" t="str">
        <x:v>% del PIB</x:v>
      </x:c>
      <x:c r="F61" t="n">
        <x:v>2020</x:v>
      </x:c>
      <x:c r="G61" t="str">
        <x:v>IMF Country Report No. 20/325</x:v>
      </x:c>
    </x:row>
    <x:row r="62">
      <x:c r="A62" t="str">
        <x:v>Dic-2020</x:v>
      </x:c>
      <x:c r="B62" t="str">
        <x:v>Cuenta Corriente (% PIB)</x:v>
      </x:c>
      <x:c r="C62" s="33" t="n">
        <x:v>2025</x:v>
      </x:c>
      <x:c r="D62" s="34" t="n">
        <x:v>2</x:v>
      </x:c>
      <x:c r="E62" t="str">
        <x:v>% del PIB</x:v>
      </x:c>
      <x:c r="F62" t="n">
        <x:v>2020</x:v>
      </x:c>
      <x:c r="G62" t="str">
        <x:v>IMF Country Report No. 20/325</x:v>
      </x:c>
    </x:row>
    <x:row r="63">
      <x:c r="A63" t="str">
        <x:v>Dic-2020</x:v>
      </x:c>
      <x:c r="B63" t="str">
        <x:v>Balance Fiscal NFPS (% PIB)</x:v>
      </x:c>
      <x:c r="C63" s="33" t="n">
        <x:v>2020</x:v>
      </x:c>
      <x:c r="D63" s="34" t="n">
        <x:v>-7.8</x:v>
      </x:c>
      <x:c r="E63" t="str">
        <x:v>% del PIB</x:v>
      </x:c>
      <x:c r="F63" t="n">
        <x:v>2020</x:v>
      </x:c>
      <x:c r="G63" t="str">
        <x:v>IMF Country Report No. 20/325</x:v>
      </x:c>
    </x:row>
    <x:row r="64">
      <x:c r="A64" t="str">
        <x:v>Dic-2020</x:v>
      </x:c>
      <x:c r="B64" t="str">
        <x:v>Balance Fiscal NFPS (% PIB)</x:v>
      </x:c>
      <x:c r="C64" s="33" t="n">
        <x:v>2021</x:v>
      </x:c>
      <x:c r="D64" s="34" t="n">
        <x:v>-2.8</x:v>
      </x:c>
      <x:c r="E64" t="str">
        <x:v>% del PIB</x:v>
      </x:c>
      <x:c r="F64" t="n">
        <x:v>2020</x:v>
      </x:c>
      <x:c r="G64" t="str">
        <x:v>IMF Country Report No. 20/325</x:v>
      </x:c>
    </x:row>
    <x:row r="65">
      <x:c r="A65" t="str">
        <x:v>Dic-2020</x:v>
      </x:c>
      <x:c r="B65" t="str">
        <x:v>Balance Fiscal NFPS (% PIB)</x:v>
      </x:c>
      <x:c r="C65" s="33" t="n">
        <x:v>2022</x:v>
      </x:c>
      <x:c r="D65" s="34" t="n">
        <x:v>0.6</x:v>
      </x:c>
      <x:c r="E65" t="str">
        <x:v>% del PIB</x:v>
      </x:c>
      <x:c r="F65" t="n">
        <x:v>2020</x:v>
      </x:c>
      <x:c r="G65" t="str">
        <x:v>IMF Country Report No. 20/325</x:v>
      </x:c>
    </x:row>
    <x:row r="66">
      <x:c r="A66" t="str">
        <x:v>Dic-2020</x:v>
      </x:c>
      <x:c r="B66" t="str">
        <x:v>Balance Fiscal NFPS (% PIB)</x:v>
      </x:c>
      <x:c r="C66" s="33" t="n">
        <x:v>2023</x:v>
      </x:c>
      <x:c r="D66" s="34" t="n">
        <x:v>1.9</x:v>
      </x:c>
      <x:c r="E66" t="str">
        <x:v>% del PIB</x:v>
      </x:c>
      <x:c r="F66" t="n">
        <x:v>2020</x:v>
      </x:c>
      <x:c r="G66" t="str">
        <x:v>IMF Country Report No. 20/325</x:v>
      </x:c>
    </x:row>
    <x:row r="67">
      <x:c r="A67" t="str">
        <x:v>Dic-2020</x:v>
      </x:c>
      <x:c r="B67" t="str">
        <x:v>Balance Fiscal NFPS (% PIB)</x:v>
      </x:c>
      <x:c r="C67" s="33" t="n">
        <x:v>2024</x:v>
      </x:c>
      <x:c r="D67" s="34" t="n">
        <x:v>2.3</x:v>
      </x:c>
      <x:c r="E67" t="str">
        <x:v>% del PIB</x:v>
      </x:c>
      <x:c r="F67" t="n">
        <x:v>2020</x:v>
      </x:c>
      <x:c r="G67" t="str">
        <x:v>IMF Country Report No. 20/325</x:v>
      </x:c>
    </x:row>
    <x:row r="68">
      <x:c r="A68" t="str">
        <x:v>Dic-2020</x:v>
      </x:c>
      <x:c r="B68" t="str">
        <x:v>Balance Fiscal NFPS (% PIB)</x:v>
      </x:c>
      <x:c r="C68" s="33" t="n">
        <x:v>2025</x:v>
      </x:c>
      <x:c r="D68" s="34" t="n">
        <x:v>2.2</x:v>
      </x:c>
      <x:c r="E68" t="str">
        <x:v>% del PIB</x:v>
      </x:c>
      <x:c r="F68" t="n">
        <x:v>2020</x:v>
      </x:c>
      <x:c r="G68" t="str">
        <x:v>IMF Country Report No. 20/325</x:v>
      </x:c>
    </x:row>
    <x:row r="69">
      <x:c r="A69" t="str">
        <x:v>Dic-2020</x:v>
      </x:c>
      <x:c r="B69" t="str">
        <x:v>Deuda Pública (% PIB)</x:v>
      </x:c>
      <x:c r="C69" s="33" t="n">
        <x:v>2020</x:v>
      </x:c>
      <x:c r="D69" s="34" t="n">
        <x:v>66.4</x:v>
      </x:c>
      <x:c r="E69" t="str">
        <x:v>% del PIB</x:v>
      </x:c>
      <x:c r="F69" t="n">
        <x:v>2020</x:v>
      </x:c>
      <x:c r="G69" t="str">
        <x:v>IMF Country Report No. 20/325</x:v>
      </x:c>
    </x:row>
    <x:row r="70">
      <x:c r="A70" t="str">
        <x:v>Dic-2020</x:v>
      </x:c>
      <x:c r="B70" t="str">
        <x:v>Deuda Pública (% PIB)</x:v>
      </x:c>
      <x:c r="C70" s="33" t="n">
        <x:v>2021</x:v>
      </x:c>
      <x:c r="D70" s="34" t="n">
        <x:v>66.2</x:v>
      </x:c>
      <x:c r="E70" t="str">
        <x:v>% del PIB</x:v>
      </x:c>
      <x:c r="F70" t="n">
        <x:v>2020</x:v>
      </x:c>
      <x:c r="G70" t="str">
        <x:v>IMF Country Report No. 20/325</x:v>
      </x:c>
    </x:row>
    <x:row r="71">
      <x:c r="A71" t="str">
        <x:v>Dic-2020</x:v>
      </x:c>
      <x:c r="B71" t="str">
        <x:v>Deuda Pública (% PIB)</x:v>
      </x:c>
      <x:c r="C71" s="33" t="n">
        <x:v>2022</x:v>
      </x:c>
      <x:c r="D71" s="34" t="n">
        <x:v>64.9</x:v>
      </x:c>
      <x:c r="E71" t="str">
        <x:v>% del PIB</x:v>
      </x:c>
      <x:c r="F71" t="n">
        <x:v>2020</x:v>
      </x:c>
      <x:c r="G71" t="str">
        <x:v>IMF Country Report No. 20/325</x:v>
      </x:c>
    </x:row>
    <x:row r="72">
      <x:c r="A72" t="str">
        <x:v>Dic-2020</x:v>
      </x:c>
      <x:c r="B72" t="str">
        <x:v>Deuda Pública (% PIB)</x:v>
      </x:c>
      <x:c r="C72" s="33" t="n">
        <x:v>2023</x:v>
      </x:c>
      <x:c r="D72" s="34" t="n">
        <x:v>61.9</x:v>
      </x:c>
      <x:c r="E72" t="str">
        <x:v>% del PIB</x:v>
      </x:c>
      <x:c r="F72" t="n">
        <x:v>2020</x:v>
      </x:c>
      <x:c r="G72" t="str">
        <x:v>IMF Country Report No. 20/325</x:v>
      </x:c>
    </x:row>
    <x:row r="73">
      <x:c r="A73" t="str">
        <x:v>Dic-2020</x:v>
      </x:c>
      <x:c r="B73" t="str">
        <x:v>Deuda Pública (% PIB)</x:v>
      </x:c>
      <x:c r="C73" s="33" t="n">
        <x:v>2024</x:v>
      </x:c>
      <x:c r="D73" s="34" t="n">
        <x:v>60.1</x:v>
      </x:c>
      <x:c r="E73" t="str">
        <x:v>% del PIB</x:v>
      </x:c>
      <x:c r="F73" t="n">
        <x:v>2020</x:v>
      </x:c>
      <x:c r="G73" t="str">
        <x:v>IMF Country Report No. 20/325</x:v>
      </x:c>
    </x:row>
    <x:row r="74">
      <x:c r="A74" t="str">
        <x:v>Dic-2020</x:v>
      </x:c>
      <x:c r="B74" t="str">
        <x:v>Deuda Pública (% PIB)</x:v>
      </x:c>
      <x:c r="C74" s="33" t="n">
        <x:v>2025</x:v>
      </x:c>
      <x:c r="D74" s="34" t="n">
        <x:v>56.4</x:v>
      </x:c>
      <x:c r="E74" t="str">
        <x:v>% del PIB</x:v>
      </x:c>
      <x:c r="F74" t="n">
        <x:v>2020</x:v>
      </x:c>
      <x:c r="G74" t="str">
        <x:v>IMF Country Report No. 20/325</x:v>
      </x:c>
    </x:row>
    <x:row r="75">
      <x:c r="A75" t="str">
        <x:v>Dic-2020</x:v>
      </x:c>
      <x:c r="B75" t="str">
        <x:v>Precio Petróleo Ecuador (USD/bbl)</x:v>
      </x:c>
      <x:c r="C75" s="33" t="n">
        <x:v>2020</x:v>
      </x:c>
      <x:c r="D75" s="34" t="n">
        <x:v>34.7</x:v>
      </x:c>
      <x:c r="E75" t="str">
        <x:v>USD/barril</x:v>
      </x:c>
      <x:c r="F75" t="n">
        <x:v>2020</x:v>
      </x:c>
      <x:c r="G75" t="str">
        <x:v>IMF Country Report No. 20/325</x:v>
      </x:c>
    </x:row>
    <x:row r="76">
      <x:c r="A76" t="str">
        <x:v>Dic-2020</x:v>
      </x:c>
      <x:c r="B76" t="str">
        <x:v>Precio Petróleo Ecuador (USD/bbl)</x:v>
      </x:c>
      <x:c r="C76" s="33" t="n">
        <x:v>2021</x:v>
      </x:c>
      <x:c r="D76" s="34" t="n">
        <x:v>37.1</x:v>
      </x:c>
      <x:c r="E76" t="str">
        <x:v>USD/barril</x:v>
      </x:c>
      <x:c r="F76" t="n">
        <x:v>2020</x:v>
      </x:c>
      <x:c r="G76" t="str">
        <x:v>IMF Country Report No. 20/325</x:v>
      </x:c>
    </x:row>
    <x:row r="77">
      <x:c r="A77" t="str">
        <x:v>Dic-2020</x:v>
      </x:c>
      <x:c r="B77" t="str">
        <x:v>Precio Petróleo Ecuador (USD/bbl)</x:v>
      </x:c>
      <x:c r="C77" s="33" t="n">
        <x:v>2022</x:v>
      </x:c>
      <x:c r="D77" s="34" t="n">
        <x:v>38.3</x:v>
      </x:c>
      <x:c r="E77" t="str">
        <x:v>USD/barril</x:v>
      </x:c>
      <x:c r="F77" t="n">
        <x:v>2020</x:v>
      </x:c>
      <x:c r="G77" t="str">
        <x:v>IMF Country Report No. 20/325</x:v>
      </x:c>
    </x:row>
    <x:row r="78">
      <x:c r="A78" t="str">
        <x:v>Dic-2020</x:v>
      </x:c>
      <x:c r="B78" t="str">
        <x:v>Precio Petróleo Ecuador (USD/bbl)</x:v>
      </x:c>
      <x:c r="C78" s="33" t="n">
        <x:v>2023</x:v>
      </x:c>
      <x:c r="D78" s="34" t="n">
        <x:v>39.3</x:v>
      </x:c>
      <x:c r="E78" t="str">
        <x:v>USD/barril</x:v>
      </x:c>
      <x:c r="F78" t="n">
        <x:v>2020</x:v>
      </x:c>
      <x:c r="G78" t="str">
        <x:v>IMF Country Report No. 20/325</x:v>
      </x:c>
    </x:row>
    <x:row r="79">
      <x:c r="A79" t="str">
        <x:v>Dic-2020</x:v>
      </x:c>
      <x:c r="B79" t="str">
        <x:v>Precio Petróleo Ecuador (USD/bbl)</x:v>
      </x:c>
      <x:c r="C79" s="33" t="n">
        <x:v>2024</x:v>
      </x:c>
      <x:c r="D79" s="34" t="n">
        <x:v>40.1</x:v>
      </x:c>
      <x:c r="E79" t="str">
        <x:v>USD/barril</x:v>
      </x:c>
      <x:c r="F79" t="n">
        <x:v>2020</x:v>
      </x:c>
      <x:c r="G79" t="str">
        <x:v>IMF Country Report No. 20/325</x:v>
      </x:c>
    </x:row>
    <x:row r="80">
      <x:c r="A80" t="str">
        <x:v>Dic-2020</x:v>
      </x:c>
      <x:c r="B80" t="str">
        <x:v>Precio Petróleo Ecuador (USD/bbl)</x:v>
      </x:c>
      <x:c r="C80" s="33" t="n">
        <x:v>2025</x:v>
      </x:c>
      <x:c r="D80" s="34" t="n">
        <x:v>40.9</x:v>
      </x:c>
      <x:c r="E80" t="str">
        <x:v>USD/barril</x:v>
      </x:c>
      <x:c r="F80" t="n">
        <x:v>2020</x:v>
      </x:c>
      <x:c r="G80" t="str">
        <x:v>IMF Country Report No. 20/325</x:v>
      </x:c>
    </x:row>
    <x:row r="81">
      <x:c r="A81" t="str">
        <x:v>Dic-2020</x:v>
      </x:c>
      <x:c r="B81" t="str">
        <x:v>PIB Nominal (USD mn)</x:v>
      </x:c>
      <x:c r="C81" s="33" t="n">
        <x:v>2020</x:v>
      </x:c>
      <x:c r="D81" s="34" t="n">
        <x:v>94297</x:v>
      </x:c>
      <x:c r="E81" t="str">
        <x:v>USD millones</x:v>
      </x:c>
      <x:c r="F81" t="n">
        <x:v>2020</x:v>
      </x:c>
      <x:c r="G81" t="str">
        <x:v>IMF Country Report No. 20/325</x:v>
      </x:c>
    </x:row>
    <x:row r="82">
      <x:c r="A82" t="str">
        <x:v>Dic-2020</x:v>
      </x:c>
      <x:c r="B82" t="str">
        <x:v>PIB Nominal (USD mn)</x:v>
      </x:c>
      <x:c r="C82" s="33" t="n">
        <x:v>2021</x:v>
      </x:c>
      <x:c r="D82" s="34" t="n">
        <x:v>99197</x:v>
      </x:c>
      <x:c r="E82" t="str">
        <x:v>USD millones</x:v>
      </x:c>
      <x:c r="F82" t="n">
        <x:v>2020</x:v>
      </x:c>
      <x:c r="G82" t="str">
        <x:v>IMF Country Report No. 20/325</x:v>
      </x:c>
    </x:row>
    <x:row r="83">
      <x:c r="A83" t="str">
        <x:v>Dic-2020</x:v>
      </x:c>
      <x:c r="B83" t="str">
        <x:v>PIB Nominal (USD mn)</x:v>
      </x:c>
      <x:c r="C83" s="33" t="n">
        <x:v>2022</x:v>
      </x:c>
      <x:c r="D83" s="34" t="n">
        <x:v>102841</x:v>
      </x:c>
      <x:c r="E83" t="str">
        <x:v>USD millones</x:v>
      </x:c>
      <x:c r="F83" t="n">
        <x:v>2020</x:v>
      </x:c>
      <x:c r="G83" t="str">
        <x:v>IMF Country Report No. 20/325</x:v>
      </x:c>
    </x:row>
    <x:row r="84">
      <x:c r="A84" t="str">
        <x:v>Dic-2020</x:v>
      </x:c>
      <x:c r="B84" t="str">
        <x:v>PIB Nominal (USD mn)</x:v>
      </x:c>
      <x:c r="C84" s="33" t="n">
        <x:v>2023</x:v>
      </x:c>
      <x:c r="D84" s="34" t="n">
        <x:v>106012</x:v>
      </x:c>
      <x:c r="E84" t="str">
        <x:v>USD millones</x:v>
      </x:c>
      <x:c r="F84" t="n">
        <x:v>2020</x:v>
      </x:c>
      <x:c r="G84" t="str">
        <x:v>IMF Country Report No. 20/325</x:v>
      </x:c>
    </x:row>
    <x:row r="85">
      <x:c r="A85" t="str">
        <x:v>Dic-2020</x:v>
      </x:c>
      <x:c r="B85" t="str">
        <x:v>PIB Nominal (USD mn)</x:v>
      </x:c>
      <x:c r="C85" s="33" t="n">
        <x:v>2024</x:v>
      </x:c>
      <x:c r="D85" s="34" t="n">
        <x:v>109458</x:v>
      </x:c>
      <x:c r="E85" t="str">
        <x:v>USD millones</x:v>
      </x:c>
      <x:c r="F85" t="n">
        <x:v>2020</x:v>
      </x:c>
      <x:c r="G85" t="str">
        <x:v>IMF Country Report No. 20/325</x:v>
      </x:c>
    </x:row>
    <x:row r="86">
      <x:c r="A86" t="str">
        <x:v>Dic-2020</x:v>
      </x:c>
      <x:c r="B86" t="str">
        <x:v>PIB Nominal (USD mn)</x:v>
      </x:c>
      <x:c r="C86" s="33" t="n">
        <x:v>2025</x:v>
      </x:c>
      <x:c r="D86" s="34" t="n">
        <x:v>113362</x:v>
      </x:c>
      <x:c r="E86" t="str">
        <x:v>USD millones</x:v>
      </x:c>
      <x:c r="F86" t="n">
        <x:v>2020</x:v>
      </x:c>
      <x:c r="G86" t="str">
        <x:v>IMF Country Report No. 20/325</x:v>
      </x:c>
    </x:row>
    <x:row r="87">
      <x:c r="A87" t="str">
        <x:v>Dic-2020</x:v>
      </x:c>
      <x:c r="B87" t="str">
        <x:v>Reservas Internacionales (USD mn)</x:v>
      </x:c>
      <x:c r="C87" s="33" t="n">
        <x:v>2020</x:v>
      </x:c>
      <x:c r="D87" s="34" t="n">
        <x:v>5660</x:v>
      </x:c>
      <x:c r="E87" t="str">
        <x:v>USD millones</x:v>
      </x:c>
      <x:c r="F87" t="n">
        <x:v>2020</x:v>
      </x:c>
      <x:c r="G87" t="str">
        <x:v>IMF Country Report No. 20/325</x:v>
      </x:c>
    </x:row>
    <x:row r="88">
      <x:c r="A88" t="str">
        <x:v>Dic-2020</x:v>
      </x:c>
      <x:c r="B88" t="str">
        <x:v>Reservas Internacionales (USD mn)</x:v>
      </x:c>
      <x:c r="C88" s="33" t="n">
        <x:v>2021</x:v>
      </x:c>
      <x:c r="D88" s="34" t="n">
        <x:v>6826</x:v>
      </x:c>
      <x:c r="E88" t="str">
        <x:v>USD millones</x:v>
      </x:c>
      <x:c r="F88" t="n">
        <x:v>2020</x:v>
      </x:c>
      <x:c r="G88" t="str">
        <x:v>IMF Country Report No. 20/325</x:v>
      </x:c>
    </x:row>
    <x:row r="89">
      <x:c r="A89" t="str">
        <x:v>Dic-2020</x:v>
      </x:c>
      <x:c r="B89" t="str">
        <x:v>Reservas Internacionales (USD mn)</x:v>
      </x:c>
      <x:c r="C89" s="33" t="n">
        <x:v>2022</x:v>
      </x:c>
      <x:c r="D89" s="34" t="n">
        <x:v>8930</x:v>
      </x:c>
      <x:c r="E89" t="str">
        <x:v>USD millones</x:v>
      </x:c>
      <x:c r="F89" t="n">
        <x:v>2020</x:v>
      </x:c>
      <x:c r="G89" t="str">
        <x:v>IMF Country Report No. 20/325</x:v>
      </x:c>
    </x:row>
    <x:row r="90">
      <x:c r="A90" t="str">
        <x:v>Dic-2020</x:v>
      </x:c>
      <x:c r="B90" t="str">
        <x:v>Reservas Internacionales (USD mn)</x:v>
      </x:c>
      <x:c r="C90" s="33" t="n">
        <x:v>2023</x:v>
      </x:c>
      <x:c r="D90" s="34" t="n">
        <x:v>10814</x:v>
      </x:c>
      <x:c r="E90" t="str">
        <x:v>USD millones</x:v>
      </x:c>
      <x:c r="F90" t="n">
        <x:v>2020</x:v>
      </x:c>
      <x:c r="G90" t="str">
        <x:v>IMF Country Report No. 20/325</x:v>
      </x:c>
    </x:row>
    <x:row r="91">
      <x:c r="A91" t="str">
        <x:v>Dic-2020</x:v>
      </x:c>
      <x:c r="B91" t="str">
        <x:v>Reservas Internacionales (USD mn)</x:v>
      </x:c>
      <x:c r="C91" s="33" t="n">
        <x:v>2024</x:v>
      </x:c>
      <x:c r="D91" s="34" t="n">
        <x:v>13040</x:v>
      </x:c>
      <x:c r="E91" t="str">
        <x:v>USD millones</x:v>
      </x:c>
      <x:c r="F91" t="n">
        <x:v>2020</x:v>
      </x:c>
      <x:c r="G91" t="str">
        <x:v>IMF Country Report No. 20/325</x:v>
      </x:c>
    </x:row>
    <x:row r="92">
      <x:c r="A92" t="str">
        <x:v>Dic-2020</x:v>
      </x:c>
      <x:c r="B92" t="str">
        <x:v>Reservas Internacionales (USD mn)</x:v>
      </x:c>
      <x:c r="C92" s="33" t="n">
        <x:v>2025</x:v>
      </x:c>
      <x:c r="D92" s="34" t="n">
        <x:v>13786</x:v>
      </x:c>
      <x:c r="E92" t="str">
        <x:v>USD millones</x:v>
      </x:c>
      <x:c r="F92" t="n">
        <x:v>2020</x:v>
      </x:c>
      <x:c r="G92" t="str">
        <x:v>IMF Country Report No. 20/325</x:v>
      </x:c>
    </x:row>
    <x:row r="93">
      <x:c r="A93" t="str">
        <x:v>Oct-2021</x:v>
      </x:c>
      <x:c r="B93" t="str">
        <x:v>Real GDP (%)</x:v>
      </x:c>
      <x:c r="C93" s="33" t="n">
        <x:v>2021</x:v>
      </x:c>
      <x:c r="D93" s="34" t="n">
        <x:v>2.8</x:v>
      </x:c>
      <x:c r="E93" t="str">
        <x:v>%</x:v>
      </x:c>
      <x:c r="F93" t="n">
        <x:v>2021</x:v>
      </x:c>
      <x:c r="G93" t="str">
        <x:v>IMF Country Report No. 21/228</x:v>
      </x:c>
    </x:row>
    <x:row r="94">
      <x:c r="A94" t="str">
        <x:v>Oct-2021</x:v>
      </x:c>
      <x:c r="B94" t="str">
        <x:v>Real GDP (%)</x:v>
      </x:c>
      <x:c r="C94" s="33" t="n">
        <x:v>2022</x:v>
      </x:c>
      <x:c r="D94" s="34" t="n">
        <x:v>3.5</x:v>
      </x:c>
      <x:c r="E94" t="str">
        <x:v>%</x:v>
      </x:c>
      <x:c r="F94" t="n">
        <x:v>2021</x:v>
      </x:c>
      <x:c r="G94" t="str">
        <x:v>IMF Country Report No. 21/228</x:v>
      </x:c>
    </x:row>
    <x:row r="95">
      <x:c r="A95" t="str">
        <x:v>Oct-2021</x:v>
      </x:c>
      <x:c r="B95" t="str">
        <x:v>Real GDP (%)</x:v>
      </x:c>
      <x:c r="C95" s="33" t="n">
        <x:v>2023</x:v>
      </x:c>
      <x:c r="D95" s="34" t="n">
        <x:v>2.5</x:v>
      </x:c>
      <x:c r="E95" t="str">
        <x:v>%</x:v>
      </x:c>
      <x:c r="F95" t="n">
        <x:v>2021</x:v>
      </x:c>
      <x:c r="G95" t="str">
        <x:v>IMF Country Report No. 21/228</x:v>
      </x:c>
    </x:row>
    <x:row r="96">
      <x:c r="A96" t="str">
        <x:v>Oct-2021</x:v>
      </x:c>
      <x:c r="B96" t="str">
        <x:v>Real GDP (%)</x:v>
      </x:c>
      <x:c r="C96" s="33" t="n">
        <x:v>2024</x:v>
      </x:c>
      <x:c r="D96" s="34" t="n">
        <x:v>2.6</x:v>
      </x:c>
      <x:c r="E96" t="str">
        <x:v>%</x:v>
      </x:c>
      <x:c r="F96" t="n">
        <x:v>2021</x:v>
      </x:c>
      <x:c r="G96" t="str">
        <x:v>IMF Country Report No. 21/228</x:v>
      </x:c>
    </x:row>
    <x:row r="97">
      <x:c r="A97" t="str">
        <x:v>Oct-2021</x:v>
      </x:c>
      <x:c r="B97" t="str">
        <x:v>Real GDP (%)</x:v>
      </x:c>
      <x:c r="C97" s="33" t="n">
        <x:v>2025</x:v>
      </x:c>
      <x:c r="D97" s="34" t="n">
        <x:v>2.8</x:v>
      </x:c>
      <x:c r="E97" t="str">
        <x:v>%</x:v>
      </x:c>
      <x:c r="F97" t="n">
        <x:v>2021</x:v>
      </x:c>
      <x:c r="G97" t="str">
        <x:v>IMF Country Report No. 21/228</x:v>
      </x:c>
    </x:row>
    <x:row r="98">
      <x:c r="A98" t="str">
        <x:v>Oct-2021</x:v>
      </x:c>
      <x:c r="B98" t="str">
        <x:v>Real GDP (%)</x:v>
      </x:c>
      <x:c r="C98" s="33" t="n">
        <x:v>2026</x:v>
      </x:c>
      <x:c r="D98" s="34" t="n">
        <x:v>2.8</x:v>
      </x:c>
      <x:c r="E98" t="str">
        <x:v>%</x:v>
      </x:c>
      <x:c r="F98" t="n">
        <x:v>2021</x:v>
      </x:c>
      <x:c r="G98" t="str">
        <x:v>IMF Country Report No. 21/228</x:v>
      </x:c>
    </x:row>
    <x:row r="99">
      <x:c r="A99" t="str">
        <x:v>Oct-2021</x:v>
      </x:c>
      <x:c r="B99" t="str">
        <x:v>Inflación promedio (%)</x:v>
      </x:c>
      <x:c r="C99" s="33" t="n">
        <x:v>2021</x:v>
      </x:c>
      <x:c r="D99" s="34" t="n">
        <x:v>1</x:v>
      </x:c>
      <x:c r="E99" t="str">
        <x:v>%</x:v>
      </x:c>
      <x:c r="F99" t="n">
        <x:v>2021</x:v>
      </x:c>
      <x:c r="G99" t="str">
        <x:v>IMF Country Report No. 21/228</x:v>
      </x:c>
    </x:row>
    <x:row r="100">
      <x:c r="A100" t="str">
        <x:v>Oct-2021</x:v>
      </x:c>
      <x:c r="B100" t="str">
        <x:v>Inflación promedio (%)</x:v>
      </x:c>
      <x:c r="C100" s="33" t="n">
        <x:v>2022</x:v>
      </x:c>
      <x:c r="D100" s="34" t="n">
        <x:v>2.1</x:v>
      </x:c>
      <x:c r="E100" t="str">
        <x:v>%</x:v>
      </x:c>
      <x:c r="F100" t="n">
        <x:v>2021</x:v>
      </x:c>
      <x:c r="G100" t="str">
        <x:v>IMF Country Report No. 21/228</x:v>
      </x:c>
    </x:row>
    <x:row r="101">
      <x:c r="A101" t="str">
        <x:v>Oct-2021</x:v>
      </x:c>
      <x:c r="B101" t="str">
        <x:v>Inflación promedio (%)</x:v>
      </x:c>
      <x:c r="C101" s="33" t="n">
        <x:v>2023</x:v>
      </x:c>
      <x:c r="D101" s="34" t="n">
        <x:v>1.8</x:v>
      </x:c>
      <x:c r="E101" t="str">
        <x:v>%</x:v>
      </x:c>
      <x:c r="F101" t="n">
        <x:v>2021</x:v>
      </x:c>
      <x:c r="G101" t="str">
        <x:v>IMF Country Report No. 21/228</x:v>
      </x:c>
    </x:row>
    <x:row r="102">
      <x:c r="A102" t="str">
        <x:v>Oct-2021</x:v>
      </x:c>
      <x:c r="B102" t="str">
        <x:v>Inflación promedio (%)</x:v>
      </x:c>
      <x:c r="C102" s="33" t="n">
        <x:v>2024</x:v>
      </x:c>
      <x:c r="D102" s="34" t="n">
        <x:v>1.5</x:v>
      </x:c>
      <x:c r="E102" t="str">
        <x:v>%</x:v>
      </x:c>
      <x:c r="F102" t="n">
        <x:v>2021</x:v>
      </x:c>
      <x:c r="G102" t="str">
        <x:v>IMF Country Report No. 21/228</x:v>
      </x:c>
    </x:row>
    <x:row r="103">
      <x:c r="A103" t="str">
        <x:v>Oct-2021</x:v>
      </x:c>
      <x:c r="B103" t="str">
        <x:v>Inflación promedio (%)</x:v>
      </x:c>
      <x:c r="C103" s="33" t="n">
        <x:v>2025</x:v>
      </x:c>
      <x:c r="D103" s="34" t="n">
        <x:v>1.3</x:v>
      </x:c>
      <x:c r="E103" t="str">
        <x:v>%</x:v>
      </x:c>
      <x:c r="F103" t="n">
        <x:v>2021</x:v>
      </x:c>
      <x:c r="G103" t="str">
        <x:v>IMF Country Report No. 21/228</x:v>
      </x:c>
    </x:row>
    <x:row r="104">
      <x:c r="A104" t="str">
        <x:v>Oct-2021</x:v>
      </x:c>
      <x:c r="B104" t="str">
        <x:v>Inflación promedio (%)</x:v>
      </x:c>
      <x:c r="C104" s="33" t="n">
        <x:v>2026</x:v>
      </x:c>
      <x:c r="D104" s="34" t="n">
        <x:v>1</x:v>
      </x:c>
      <x:c r="E104" t="str">
        <x:v>%</x:v>
      </x:c>
      <x:c r="F104" t="n">
        <x:v>2021</x:v>
      </x:c>
      <x:c r="G104" t="str">
        <x:v>IMF Country Report No. 21/228</x:v>
      </x:c>
    </x:row>
    <x:row r="105">
      <x:c r="A105" t="str">
        <x:v>Oct-2021</x:v>
      </x:c>
      <x:c r="B105" t="str">
        <x:v>Cuenta Corriente (% PIB)</x:v>
      </x:c>
      <x:c r="C105" s="33" t="n">
        <x:v>2021</x:v>
      </x:c>
      <x:c r="D105" s="34" t="n">
        <x:v>1</x:v>
      </x:c>
      <x:c r="E105" t="str">
        <x:v>% del PIB</x:v>
      </x:c>
      <x:c r="F105" t="n">
        <x:v>2021</x:v>
      </x:c>
      <x:c r="G105" t="str">
        <x:v>IMF Country Report No. 21/228</x:v>
      </x:c>
    </x:row>
    <x:row r="106">
      <x:c r="A106" t="str">
        <x:v>Oct-2021</x:v>
      </x:c>
      <x:c r="B106" t="str">
        <x:v>Cuenta Corriente (% PIB)</x:v>
      </x:c>
      <x:c r="C106" s="33" t="n">
        <x:v>2022</x:v>
      </x:c>
      <x:c r="D106" s="34" t="n">
        <x:v>1.7</x:v>
      </x:c>
      <x:c r="E106" t="str">
        <x:v>% del PIB</x:v>
      </x:c>
      <x:c r="F106" t="n">
        <x:v>2021</x:v>
      </x:c>
      <x:c r="G106" t="str">
        <x:v>IMF Country Report No. 21/228</x:v>
      </x:c>
    </x:row>
    <x:row r="107">
      <x:c r="A107" t="str">
        <x:v>Oct-2021</x:v>
      </x:c>
      <x:c r="B107" t="str">
        <x:v>Cuenta Corriente (% PIB)</x:v>
      </x:c>
      <x:c r="C107" s="33" t="n">
        <x:v>2023</x:v>
      </x:c>
      <x:c r="D107" s="34" t="n">
        <x:v>1.9</x:v>
      </x:c>
      <x:c r="E107" t="str">
        <x:v>% del PIB</x:v>
      </x:c>
      <x:c r="F107" t="n">
        <x:v>2021</x:v>
      </x:c>
      <x:c r="G107" t="str">
        <x:v>IMF Country Report No. 21/228</x:v>
      </x:c>
    </x:row>
    <x:row r="108">
      <x:c r="A108" t="str">
        <x:v>Oct-2021</x:v>
      </x:c>
      <x:c r="B108" t="str">
        <x:v>Cuenta Corriente (% PIB)</x:v>
      </x:c>
      <x:c r="C108" s="33" t="n">
        <x:v>2024</x:v>
      </x:c>
      <x:c r="D108" s="34" t="n">
        <x:v>2</x:v>
      </x:c>
      <x:c r="E108" t="str">
        <x:v>% del PIB</x:v>
      </x:c>
      <x:c r="F108" t="n">
        <x:v>2021</x:v>
      </x:c>
      <x:c r="G108" t="str">
        <x:v>IMF Country Report No. 21/228</x:v>
      </x:c>
    </x:row>
    <x:row r="109">
      <x:c r="A109" t="str">
        <x:v>Oct-2021</x:v>
      </x:c>
      <x:c r="B109" t="str">
        <x:v>Cuenta Corriente (% PIB)</x:v>
      </x:c>
      <x:c r="C109" s="33" t="n">
        <x:v>2025</x:v>
      </x:c>
      <x:c r="D109" s="34" t="n">
        <x:v>2.1</x:v>
      </x:c>
      <x:c r="E109" t="str">
        <x:v>% del PIB</x:v>
      </x:c>
      <x:c r="F109" t="n">
        <x:v>2021</x:v>
      </x:c>
      <x:c r="G109" t="str">
        <x:v>IMF Country Report No. 21/228</x:v>
      </x:c>
    </x:row>
    <x:row r="110">
      <x:c r="A110" t="str">
        <x:v>Oct-2021</x:v>
      </x:c>
      <x:c r="B110" t="str">
        <x:v>Cuenta Corriente (% PIB)</x:v>
      </x:c>
      <x:c r="C110" s="33" t="n">
        <x:v>2026</x:v>
      </x:c>
      <x:c r="D110" s="34" t="n">
        <x:v>2</x:v>
      </x:c>
      <x:c r="E110" t="str">
        <x:v>% del PIB</x:v>
      </x:c>
      <x:c r="F110" t="n">
        <x:v>2021</x:v>
      </x:c>
      <x:c r="G110" t="str">
        <x:v>IMF Country Report No. 21/228</x:v>
      </x:c>
    </x:row>
    <x:row r="111">
      <x:c r="A111" t="str">
        <x:v>Oct-2021</x:v>
      </x:c>
      <x:c r="B111" t="str">
        <x:v>Balance Fiscal NFPS (% PIB)</x:v>
      </x:c>
      <x:c r="C111" s="33" t="n">
        <x:v>2021</x:v>
      </x:c>
      <x:c r="D111" s="34" t="n">
        <x:v>-2.3</x:v>
      </x:c>
      <x:c r="E111" t="str">
        <x:v>% del PIB</x:v>
      </x:c>
      <x:c r="F111" t="n">
        <x:v>2021</x:v>
      </x:c>
      <x:c r="G111" t="str">
        <x:v>IMF Country Report No. 21/228</x:v>
      </x:c>
    </x:row>
    <x:row r="112">
      <x:c r="A112" t="str">
        <x:v>Oct-2021</x:v>
      </x:c>
      <x:c r="B112" t="str">
        <x:v>Balance Fiscal NFPS (% PIB)</x:v>
      </x:c>
      <x:c r="C112" s="33" t="n">
        <x:v>2022</x:v>
      </x:c>
      <x:c r="D112" s="34" t="n">
        <x:v>0.1</x:v>
      </x:c>
      <x:c r="E112" t="str">
        <x:v>% del PIB</x:v>
      </x:c>
      <x:c r="F112" t="n">
        <x:v>2021</x:v>
      </x:c>
      <x:c r="G112" t="str">
        <x:v>IMF Country Report No. 21/228</x:v>
      </x:c>
    </x:row>
    <x:row r="113">
      <x:c r="A113" t="str">
        <x:v>Oct-2021</x:v>
      </x:c>
      <x:c r="B113" t="str">
        <x:v>Balance Fiscal NFPS (% PIB)</x:v>
      </x:c>
      <x:c r="C113" s="33" t="n">
        <x:v>2023</x:v>
      </x:c>
      <x:c r="D113" s="34" t="n">
        <x:v>1.2</x:v>
      </x:c>
      <x:c r="E113" t="str">
        <x:v>% del PIB</x:v>
      </x:c>
      <x:c r="F113" t="n">
        <x:v>2021</x:v>
      </x:c>
      <x:c r="G113" t="str">
        <x:v>IMF Country Report No. 21/228</x:v>
      </x:c>
    </x:row>
    <x:row r="114">
      <x:c r="A114" t="str">
        <x:v>Oct-2021</x:v>
      </x:c>
      <x:c r="B114" t="str">
        <x:v>Balance Fiscal NFPS (% PIB)</x:v>
      </x:c>
      <x:c r="C114" s="33" t="n">
        <x:v>2024</x:v>
      </x:c>
      <x:c r="D114" s="34" t="n">
        <x:v>1.4</x:v>
      </x:c>
      <x:c r="E114" t="str">
        <x:v>% del PIB</x:v>
      </x:c>
      <x:c r="F114" t="n">
        <x:v>2021</x:v>
      </x:c>
      <x:c r="G114" t="str">
        <x:v>IMF Country Report No. 21/228</x:v>
      </x:c>
    </x:row>
    <x:row r="115">
      <x:c r="A115" t="str">
        <x:v>Oct-2021</x:v>
      </x:c>
      <x:c r="B115" t="str">
        <x:v>Balance Fiscal NFPS (% PIB)</x:v>
      </x:c>
      <x:c r="C115" s="33" t="n">
        <x:v>2025</x:v>
      </x:c>
      <x:c r="D115" s="34" t="n">
        <x:v>1.4</x:v>
      </x:c>
      <x:c r="E115" t="str">
        <x:v>% del PIB</x:v>
      </x:c>
      <x:c r="F115" t="n">
        <x:v>2021</x:v>
      </x:c>
      <x:c r="G115" t="str">
        <x:v>IMF Country Report No. 21/228</x:v>
      </x:c>
    </x:row>
    <x:row r="116">
      <x:c r="A116" t="str">
        <x:v>Oct-2021</x:v>
      </x:c>
      <x:c r="B116" t="str">
        <x:v>Balance Fiscal NFPS (% PIB)</x:v>
      </x:c>
      <x:c r="C116" s="33" t="n">
        <x:v>2026</x:v>
      </x:c>
      <x:c r="D116" s="34" t="n">
        <x:v>1</x:v>
      </x:c>
      <x:c r="E116" t="str">
        <x:v>% del PIB</x:v>
      </x:c>
      <x:c r="F116" t="n">
        <x:v>2021</x:v>
      </x:c>
      <x:c r="G116" t="str">
        <x:v>IMF Country Report No. 21/228</x:v>
      </x:c>
    </x:row>
    <x:row r="117">
      <x:c r="A117" t="str">
        <x:v>Oct-2021</x:v>
      </x:c>
      <x:c r="B117" t="str">
        <x:v>Deuda Pública (% PIB)</x:v>
      </x:c>
      <x:c r="C117" s="33" t="n">
        <x:v>2021</x:v>
      </x:c>
      <x:c r="D117" s="34" t="n">
        <x:v>61</x:v>
      </x:c>
      <x:c r="E117" t="str">
        <x:v>% del PIB</x:v>
      </x:c>
      <x:c r="F117" t="n">
        <x:v>2021</x:v>
      </x:c>
      <x:c r="G117" t="str">
        <x:v>IMF Country Report No. 21/228</x:v>
      </x:c>
    </x:row>
    <x:row r="118">
      <x:c r="A118" t="str">
        <x:v>Oct-2021</x:v>
      </x:c>
      <x:c r="B118" t="str">
        <x:v>Deuda Pública (% PIB)</x:v>
      </x:c>
      <x:c r="C118" s="33" t="n">
        <x:v>2022</x:v>
      </x:c>
      <x:c r="D118" s="34" t="n">
        <x:v>59.9</x:v>
      </x:c>
      <x:c r="E118" t="str">
        <x:v>% del PIB</x:v>
      </x:c>
      <x:c r="F118" t="n">
        <x:v>2021</x:v>
      </x:c>
      <x:c r="G118" t="str">
        <x:v>IMF Country Report No. 21/228</x:v>
      </x:c>
    </x:row>
    <x:row r="119">
      <x:c r="A119" t="str">
        <x:v>Oct-2021</x:v>
      </x:c>
      <x:c r="B119" t="str">
        <x:v>Deuda Pública (% PIB)</x:v>
      </x:c>
      <x:c r="C119" s="33" t="n">
        <x:v>2023</x:v>
      </x:c>
      <x:c r="D119" s="34" t="n">
        <x:v>57.9</x:v>
      </x:c>
      <x:c r="E119" t="str">
        <x:v>% del PIB</x:v>
      </x:c>
      <x:c r="F119" t="n">
        <x:v>2021</x:v>
      </x:c>
      <x:c r="G119" t="str">
        <x:v>IMF Country Report No. 21/228</x:v>
      </x:c>
    </x:row>
    <x:row r="120">
      <x:c r="A120" t="str">
        <x:v>Oct-2021</x:v>
      </x:c>
      <x:c r="B120" t="str">
        <x:v>Deuda Pública (% PIB)</x:v>
      </x:c>
      <x:c r="C120" s="33" t="n">
        <x:v>2024</x:v>
      </x:c>
      <x:c r="D120" s="34" t="n">
        <x:v>56.2</x:v>
      </x:c>
      <x:c r="E120" t="str">
        <x:v>% del PIB</x:v>
      </x:c>
      <x:c r="F120" t="n">
        <x:v>2021</x:v>
      </x:c>
      <x:c r="G120" t="str">
        <x:v>IMF Country Report No. 21/228</x:v>
      </x:c>
    </x:row>
    <x:row r="121">
      <x:c r="A121" t="str">
        <x:v>Oct-2021</x:v>
      </x:c>
      <x:c r="B121" t="str">
        <x:v>Deuda Pública (% PIB)</x:v>
      </x:c>
      <x:c r="C121" s="33" t="n">
        <x:v>2025</x:v>
      </x:c>
      <x:c r="D121" s="34" t="n">
        <x:v>52.9</x:v>
      </x:c>
      <x:c r="E121" t="str">
        <x:v>% del PIB</x:v>
      </x:c>
      <x:c r="F121" t="n">
        <x:v>2021</x:v>
      </x:c>
      <x:c r="G121" t="str">
        <x:v>IMF Country Report No. 21/228</x:v>
      </x:c>
    </x:row>
    <x:row r="122">
      <x:c r="A122" t="str">
        <x:v>Oct-2021</x:v>
      </x:c>
      <x:c r="B122" t="str">
        <x:v>Deuda Pública (% PIB)</x:v>
      </x:c>
      <x:c r="C122" s="33" t="n">
        <x:v>2026</x:v>
      </x:c>
      <x:c r="D122" s="34" t="n">
        <x:v>49.6</x:v>
      </x:c>
      <x:c r="E122" t="str">
        <x:v>% del PIB</x:v>
      </x:c>
      <x:c r="F122" t="n">
        <x:v>2021</x:v>
      </x:c>
      <x:c r="G122" t="str">
        <x:v>IMF Country Report No. 21/228</x:v>
      </x:c>
    </x:row>
    <x:row r="123">
      <x:c r="A123" t="str">
        <x:v>Oct-2021</x:v>
      </x:c>
      <x:c r="B123" t="str">
        <x:v>Precio Petróleo Ecuador (USD/bbl)</x:v>
      </x:c>
      <x:c r="C123" s="33" t="n">
        <x:v>2021</x:v>
      </x:c>
      <x:c r="D123" s="34" t="n">
        <x:v>37.1</x:v>
      </x:c>
      <x:c r="E123" t="str">
        <x:v>USD/barril</x:v>
      </x:c>
      <x:c r="F123" t="n">
        <x:v>2021</x:v>
      </x:c>
      <x:c r="G123" t="str">
        <x:v>IMF Country Report No. 21/228</x:v>
      </x:c>
    </x:row>
    <x:row r="124">
      <x:c r="A124" t="str">
        <x:v>Oct-2021</x:v>
      </x:c>
      <x:c r="B124" t="str">
        <x:v>Precio Petróleo Ecuador (USD/bbl)</x:v>
      </x:c>
      <x:c r="C124" s="33" t="n">
        <x:v>2022</x:v>
      </x:c>
      <x:c r="D124" s="34" t="n">
        <x:v>59.8</x:v>
      </x:c>
      <x:c r="E124" t="str">
        <x:v>USD/barril</x:v>
      </x:c>
      <x:c r="F124" t="n">
        <x:v>2021</x:v>
      </x:c>
      <x:c r="G124" t="str">
        <x:v>IMF Country Report No. 21/228</x:v>
      </x:c>
    </x:row>
    <x:row r="125">
      <x:c r="A125" t="str">
        <x:v>Oct-2021</x:v>
      </x:c>
      <x:c r="B125" t="str">
        <x:v>Precio Petróleo Ecuador (USD/bbl)</x:v>
      </x:c>
      <x:c r="C125" s="33" t="n">
        <x:v>2023</x:v>
      </x:c>
      <x:c r="D125" s="34" t="n">
        <x:v>55</x:v>
      </x:c>
      <x:c r="E125" t="str">
        <x:v>USD/barril</x:v>
      </x:c>
      <x:c r="F125" t="n">
        <x:v>2021</x:v>
      </x:c>
      <x:c r="G125" t="str">
        <x:v>IMF Country Report No. 21/228</x:v>
      </x:c>
    </x:row>
    <x:row r="126">
      <x:c r="A126" t="str">
        <x:v>Oct-2021</x:v>
      </x:c>
      <x:c r="B126" t="str">
        <x:v>Precio Petróleo Ecuador (USD/bbl)</x:v>
      </x:c>
      <x:c r="C126" s="33" t="n">
        <x:v>2024</x:v>
      </x:c>
      <x:c r="D126" s="34" t="n">
        <x:v>52.3</x:v>
      </x:c>
      <x:c r="E126" t="str">
        <x:v>USD/barril</x:v>
      </x:c>
      <x:c r="F126" t="n">
        <x:v>2021</x:v>
      </x:c>
      <x:c r="G126" t="str">
        <x:v>IMF Country Report No. 21/228</x:v>
      </x:c>
    </x:row>
    <x:row r="127">
      <x:c r="A127" t="str">
        <x:v>Oct-2021</x:v>
      </x:c>
      <x:c r="B127" t="str">
        <x:v>Precio Petróleo Ecuador (USD/bbl)</x:v>
      </x:c>
      <x:c r="C127" s="33" t="n">
        <x:v>2025</x:v>
      </x:c>
      <x:c r="D127" s="34" t="n">
        <x:v>50.5</x:v>
      </x:c>
      <x:c r="E127" t="str">
        <x:v>USD/barril</x:v>
      </x:c>
      <x:c r="F127" t="n">
        <x:v>2021</x:v>
      </x:c>
      <x:c r="G127" t="str">
        <x:v>IMF Country Report No. 21/228</x:v>
      </x:c>
    </x:row>
    <x:row r="128">
      <x:c r="A128" t="str">
        <x:v>Oct-2021</x:v>
      </x:c>
      <x:c r="B128" t="str">
        <x:v>Precio Petróleo Ecuador (USD/bbl)</x:v>
      </x:c>
      <x:c r="C128" s="33" t="n">
        <x:v>2026</x:v>
      </x:c>
      <x:c r="D128" s="34" t="n">
        <x:v>49.3</x:v>
      </x:c>
      <x:c r="E128" t="str">
        <x:v>USD/barril</x:v>
      </x:c>
      <x:c r="F128" t="n">
        <x:v>2021</x:v>
      </x:c>
      <x:c r="G128" t="str">
        <x:v>IMF Country Report No. 21/228</x:v>
      </x:c>
    </x:row>
    <x:row r="129">
      <x:c r="A129" t="str">
        <x:v>Oct-2021</x:v>
      </x:c>
      <x:c r="B129" t="str">
        <x:v>PIB Nominal (USD mn)</x:v>
      </x:c>
      <x:c r="C129" s="33" t="n">
        <x:v>2021</x:v>
      </x:c>
      <x:c r="D129" s="34" t="n">
        <x:v>99197</x:v>
      </x:c>
      <x:c r="E129" t="str">
        <x:v>USD millones</x:v>
      </x:c>
      <x:c r="F129" t="n">
        <x:v>2021</x:v>
      </x:c>
      <x:c r="G129" t="str">
        <x:v>IMF Country Report No. 21/228</x:v>
      </x:c>
    </x:row>
    <x:row r="130">
      <x:c r="A130" t="str">
        <x:v>Oct-2021</x:v>
      </x:c>
      <x:c r="B130" t="str">
        <x:v>PIB Nominal (USD mn)</x:v>
      </x:c>
      <x:c r="C130" s="33" t="n">
        <x:v>2022</x:v>
      </x:c>
      <x:c r="D130" s="34" t="n">
        <x:v>104483</x:v>
      </x:c>
      <x:c r="E130" t="str">
        <x:v>USD millones</x:v>
      </x:c>
      <x:c r="F130" t="n">
        <x:v>2021</x:v>
      </x:c>
      <x:c r="G130" t="str">
        <x:v>IMF Country Report No. 21/228</x:v>
      </x:c>
    </x:row>
    <x:row r="131">
      <x:c r="A131" t="str">
        <x:v>Oct-2021</x:v>
      </x:c>
      <x:c r="B131" t="str">
        <x:v>PIB Nominal (USD mn)</x:v>
      </x:c>
      <x:c r="C131" s="33" t="n">
        <x:v>2023</x:v>
      </x:c>
      <x:c r="D131" s="34" t="n">
        <x:v>109975</x:v>
      </x:c>
      <x:c r="E131" t="str">
        <x:v>USD millones</x:v>
      </x:c>
      <x:c r="F131" t="n">
        <x:v>2021</x:v>
      </x:c>
      <x:c r="G131" t="str">
        <x:v>IMF Country Report No. 21/228</x:v>
      </x:c>
    </x:row>
    <x:row r="132">
      <x:c r="A132" t="str">
        <x:v>Oct-2021</x:v>
      </x:c>
      <x:c r="B132" t="str">
        <x:v>PIB Nominal (USD mn)</x:v>
      </x:c>
      <x:c r="C132" s="33" t="n">
        <x:v>2024</x:v>
      </x:c>
      <x:c r="D132" s="34" t="n">
        <x:v>114076</x:v>
      </x:c>
      <x:c r="E132" t="str">
        <x:v>USD millones</x:v>
      </x:c>
      <x:c r="F132" t="n">
        <x:v>2021</x:v>
      </x:c>
      <x:c r="G132" t="str">
        <x:v>IMF Country Report No. 21/228</x:v>
      </x:c>
    </x:row>
    <x:row r="133">
      <x:c r="A133" t="str">
        <x:v>Oct-2021</x:v>
      </x:c>
      <x:c r="B133" t="str">
        <x:v>PIB Nominal (USD mn)</x:v>
      </x:c>
      <x:c r="C133" s="33" t="n">
        <x:v>2025</x:v>
      </x:c>
      <x:c r="D133" s="34" t="n">
        <x:v>118502</x:v>
      </x:c>
      <x:c r="E133" t="str">
        <x:v>USD millones</x:v>
      </x:c>
      <x:c r="F133" t="n">
        <x:v>2021</x:v>
      </x:c>
      <x:c r="G133" t="str">
        <x:v>IMF Country Report No. 21/228</x:v>
      </x:c>
    </x:row>
    <x:row r="134">
      <x:c r="A134" t="str">
        <x:v>Oct-2021</x:v>
      </x:c>
      <x:c r="B134" t="str">
        <x:v>PIB Nominal (USD mn)</x:v>
      </x:c>
      <x:c r="C134" s="33" t="n">
        <x:v>2026</x:v>
      </x:c>
      <x:c r="D134" s="34" t="n">
        <x:v>123202</x:v>
      </x:c>
      <x:c r="E134" t="str">
        <x:v>USD millones</x:v>
      </x:c>
      <x:c r="F134" t="n">
        <x:v>2021</x:v>
      </x:c>
      <x:c r="G134" t="str">
        <x:v>IMF Country Report No. 21/228</x:v>
      </x:c>
    </x:row>
    <x:row r="135">
      <x:c r="A135" t="str">
        <x:v>Oct-2021</x:v>
      </x:c>
      <x:c r="B135" t="str">
        <x:v>Reservas Internacionales (USD mn)</x:v>
      </x:c>
      <x:c r="C135" s="33" t="n">
        <x:v>2021</x:v>
      </x:c>
      <x:c r="D135" s="34" t="n">
        <x:v>7196</x:v>
      </x:c>
      <x:c r="E135" t="str">
        <x:v>USD millones</x:v>
      </x:c>
      <x:c r="F135" t="n">
        <x:v>2021</x:v>
      </x:c>
      <x:c r="G135" t="str">
        <x:v>IMF Country Report No. 21/228</x:v>
      </x:c>
    </x:row>
    <x:row r="136">
      <x:c r="A136" t="str">
        <x:v>Oct-2021</x:v>
      </x:c>
      <x:c r="B136" t="str">
        <x:v>Reservas Internacionales (USD mn)</x:v>
      </x:c>
      <x:c r="C136" s="33" t="n">
        <x:v>2022</x:v>
      </x:c>
      <x:c r="D136" s="34" t="n">
        <x:v>8427</x:v>
      </x:c>
      <x:c r="E136" t="str">
        <x:v>USD millones</x:v>
      </x:c>
      <x:c r="F136" t="n">
        <x:v>2021</x:v>
      </x:c>
      <x:c r="G136" t="str">
        <x:v>IMF Country Report No. 21/228</x:v>
      </x:c>
    </x:row>
    <x:row r="137">
      <x:c r="A137" t="str">
        <x:v>Oct-2021</x:v>
      </x:c>
      <x:c r="B137" t="str">
        <x:v>Reservas Internacionales (USD mn)</x:v>
      </x:c>
      <x:c r="C137" s="33" t="n">
        <x:v>2023</x:v>
      </x:c>
      <x:c r="D137" s="34" t="n">
        <x:v>9908</x:v>
      </x:c>
      <x:c r="E137" t="str">
        <x:v>USD millones</x:v>
      </x:c>
      <x:c r="F137" t="n">
        <x:v>2021</x:v>
      </x:c>
      <x:c r="G137" t="str">
        <x:v>IMF Country Report No. 21/228</x:v>
      </x:c>
    </x:row>
    <x:row r="138">
      <x:c r="A138" t="str">
        <x:v>Oct-2021</x:v>
      </x:c>
      <x:c r="B138" t="str">
        <x:v>Reservas Internacionales (USD mn)</x:v>
      </x:c>
      <x:c r="C138" s="33" t="n">
        <x:v>2024</x:v>
      </x:c>
      <x:c r="D138" s="34" t="n">
        <x:v>11529</x:v>
      </x:c>
      <x:c r="E138" t="str">
        <x:v>USD millones</x:v>
      </x:c>
      <x:c r="F138" t="n">
        <x:v>2021</x:v>
      </x:c>
      <x:c r="G138" t="str">
        <x:v>IMF Country Report No. 21/228</x:v>
      </x:c>
    </x:row>
    <x:row r="139">
      <x:c r="A139" t="str">
        <x:v>Oct-2021</x:v>
      </x:c>
      <x:c r="B139" t="str">
        <x:v>Reservas Internacionales (USD mn)</x:v>
      </x:c>
      <x:c r="C139" s="33" t="n">
        <x:v>2025</x:v>
      </x:c>
      <x:c r="D139" s="34" t="n">
        <x:v>13443</x:v>
      </x:c>
      <x:c r="E139" t="str">
        <x:v>USD millones</x:v>
      </x:c>
      <x:c r="F139" t="n">
        <x:v>2021</x:v>
      </x:c>
      <x:c r="G139" t="str">
        <x:v>IMF Country Report No. 21/228</x:v>
      </x:c>
    </x:row>
    <x:row r="140">
      <x:c r="A140" t="str">
        <x:v>Oct-2021</x:v>
      </x:c>
      <x:c r="B140" t="str">
        <x:v>Reservas Internacionales (USD mn)</x:v>
      </x:c>
      <x:c r="C140" s="33" t="n">
        <x:v>2026</x:v>
      </x:c>
      <x:c r="D140" s="34" t="n">
        <x:v>15021</x:v>
      </x:c>
      <x:c r="E140" t="str">
        <x:v>USD millones</x:v>
      </x:c>
      <x:c r="F140" t="n">
        <x:v>2021</x:v>
      </x:c>
      <x:c r="G140" t="str">
        <x:v>IMF Country Report No. 21/228</x:v>
      </x:c>
    </x:row>
    <x:row r="141">
      <x:c r="A141" t="str">
        <x:v>Nov-2022</x:v>
      </x:c>
      <x:c r="B141" t="str">
        <x:v>Real GDP (%)</x:v>
      </x:c>
      <x:c r="C141" s="33" t="n">
        <x:v>2022</x:v>
      </x:c>
      <x:c r="D141" s="34" t="n">
        <x:v>2.7</x:v>
      </x:c>
      <x:c r="E141" t="str">
        <x:v>%</x:v>
      </x:c>
      <x:c r="F141" t="n">
        <x:v>2022</x:v>
      </x:c>
      <x:c r="G141" t="str">
        <x:v>IMF Country Report No. 22/378</x:v>
      </x:c>
    </x:row>
    <x:row r="142">
      <x:c r="A142" t="str">
        <x:v>Nov-2022</x:v>
      </x:c>
      <x:c r="B142" t="str">
        <x:v>Real GDP (%)</x:v>
      </x:c>
      <x:c r="C142" s="33" t="n">
        <x:v>2023</x:v>
      </x:c>
      <x:c r="D142" s="34" t="n">
        <x:v>3</x:v>
      </x:c>
      <x:c r="E142" t="str">
        <x:v>%</x:v>
      </x:c>
      <x:c r="F142" t="n">
        <x:v>2022</x:v>
      </x:c>
      <x:c r="G142" t="str">
        <x:v>IMF Country Report No. 22/378</x:v>
      </x:c>
    </x:row>
    <x:row r="143">
      <x:c r="A143" t="str">
        <x:v>Nov-2022</x:v>
      </x:c>
      <x:c r="B143" t="str">
        <x:v>Real GDP (%)</x:v>
      </x:c>
      <x:c r="C143" s="33" t="n">
        <x:v>2024</x:v>
      </x:c>
      <x:c r="D143" s="34" t="n">
        <x:v>2.8</x:v>
      </x:c>
      <x:c r="E143" t="str">
        <x:v>%</x:v>
      </x:c>
      <x:c r="F143" t="n">
        <x:v>2022</x:v>
      </x:c>
      <x:c r="G143" t="str">
        <x:v>IMF Country Report No. 22/378</x:v>
      </x:c>
    </x:row>
    <x:row r="144">
      <x:c r="A144" t="str">
        <x:v>Nov-2022</x:v>
      </x:c>
      <x:c r="B144" t="str">
        <x:v>Real GDP (%)</x:v>
      </x:c>
      <x:c r="C144" s="33" t="n">
        <x:v>2025</x:v>
      </x:c>
      <x:c r="D144" s="34" t="n">
        <x:v>2.8</x:v>
      </x:c>
      <x:c r="E144" t="str">
        <x:v>%</x:v>
      </x:c>
      <x:c r="F144" t="n">
        <x:v>2022</x:v>
      </x:c>
      <x:c r="G144" t="str">
        <x:v>IMF Country Report No. 22/378</x:v>
      </x:c>
    </x:row>
    <x:row r="145">
      <x:c r="A145" t="str">
        <x:v>Nov-2022</x:v>
      </x:c>
      <x:c r="B145" t="str">
        <x:v>Real GDP (%)</x:v>
      </x:c>
      <x:c r="C145" s="33" t="n">
        <x:v>2026</x:v>
      </x:c>
      <x:c r="D145" s="34" t="n">
        <x:v>2.8</x:v>
      </x:c>
      <x:c r="E145" t="str">
        <x:v>%</x:v>
      </x:c>
      <x:c r="F145" t="n">
        <x:v>2022</x:v>
      </x:c>
      <x:c r="G145" t="str">
        <x:v>IMF Country Report No. 22/378</x:v>
      </x:c>
    </x:row>
    <x:row r="146">
      <x:c r="A146" t="str">
        <x:v>Nov-2022</x:v>
      </x:c>
      <x:c r="B146" t="str">
        <x:v>Real GDP (%)</x:v>
      </x:c>
      <x:c r="C146" s="33" t="n">
        <x:v>2027</x:v>
      </x:c>
      <x:c r="D146" s="34" t="n">
        <x:v>2.8</x:v>
      </x:c>
      <x:c r="E146" t="str">
        <x:v>%</x:v>
      </x:c>
      <x:c r="F146" t="n">
        <x:v>2022</x:v>
      </x:c>
      <x:c r="G146" t="str">
        <x:v>IMF Country Report No. 22/378</x:v>
      </x:c>
    </x:row>
    <x:row r="147">
      <x:c r="A147" t="str">
        <x:v>Nov-2022</x:v>
      </x:c>
      <x:c r="B147" t="str">
        <x:v>Inflación promedio (%)</x:v>
      </x:c>
      <x:c r="C147" s="33" t="n">
        <x:v>2022</x:v>
      </x:c>
      <x:c r="D147" s="34" t="n">
        <x:v>3.5</x:v>
      </x:c>
      <x:c r="E147" t="str">
        <x:v>%</x:v>
      </x:c>
      <x:c r="F147" t="n">
        <x:v>2022</x:v>
      </x:c>
      <x:c r="G147" t="str">
        <x:v>IMF Country Report No. 22/378</x:v>
      </x:c>
    </x:row>
    <x:row r="148">
      <x:c r="A148" t="str">
        <x:v>Nov-2022</x:v>
      </x:c>
      <x:c r="B148" t="str">
        <x:v>Inflación promedio (%)</x:v>
      </x:c>
      <x:c r="C148" s="33" t="n">
        <x:v>2023</x:v>
      </x:c>
      <x:c r="D148" s="34" t="n">
        <x:v>2.5</x:v>
      </x:c>
      <x:c r="E148" t="str">
        <x:v>%</x:v>
      </x:c>
      <x:c r="F148" t="n">
        <x:v>2022</x:v>
      </x:c>
      <x:c r="G148" t="str">
        <x:v>IMF Country Report No. 22/378</x:v>
      </x:c>
    </x:row>
    <x:row r="149">
      <x:c r="A149" t="str">
        <x:v>Nov-2022</x:v>
      </x:c>
      <x:c r="B149" t="str">
        <x:v>Inflación promedio (%)</x:v>
      </x:c>
      <x:c r="C149" s="33" t="n">
        <x:v>2024</x:v>
      </x:c>
      <x:c r="D149" s="34" t="n">
        <x:v>1.5</x:v>
      </x:c>
      <x:c r="E149" t="str">
        <x:v>%</x:v>
      </x:c>
      <x:c r="F149" t="n">
        <x:v>2022</x:v>
      </x:c>
      <x:c r="G149" t="str">
        <x:v>IMF Country Report No. 22/378</x:v>
      </x:c>
    </x:row>
    <x:row r="150">
      <x:c r="A150" t="str">
        <x:v>Nov-2022</x:v>
      </x:c>
      <x:c r="B150" t="str">
        <x:v>Inflación promedio (%)</x:v>
      </x:c>
      <x:c r="C150" s="33" t="n">
        <x:v>2025</x:v>
      </x:c>
      <x:c r="D150" s="34" t="n">
        <x:v>1.5</x:v>
      </x:c>
      <x:c r="E150" t="str">
        <x:v>%</x:v>
      </x:c>
      <x:c r="F150" t="n">
        <x:v>2022</x:v>
      </x:c>
      <x:c r="G150" t="str">
        <x:v>IMF Country Report No. 22/378</x:v>
      </x:c>
    </x:row>
    <x:row r="151">
      <x:c r="A151" t="str">
        <x:v>Nov-2022</x:v>
      </x:c>
      <x:c r="B151" t="str">
        <x:v>Inflación promedio (%)</x:v>
      </x:c>
      <x:c r="C151" s="33" t="n">
        <x:v>2026</x:v>
      </x:c>
      <x:c r="D151" s="34" t="n">
        <x:v>1.5</x:v>
      </x:c>
      <x:c r="E151" t="str">
        <x:v>%</x:v>
      </x:c>
      <x:c r="F151" t="n">
        <x:v>2022</x:v>
      </x:c>
      <x:c r="G151" t="str">
        <x:v>IMF Country Report No. 22/378</x:v>
      </x:c>
    </x:row>
    <x:row r="152">
      <x:c r="A152" t="str">
        <x:v>Nov-2022</x:v>
      </x:c>
      <x:c r="B152" t="str">
        <x:v>Inflación promedio (%)</x:v>
      </x:c>
      <x:c r="C152" s="33" t="n">
        <x:v>2027</x:v>
      </x:c>
      <x:c r="D152" s="34" t="n">
        <x:v>1.5</x:v>
      </x:c>
      <x:c r="E152" t="str">
        <x:v>%</x:v>
      </x:c>
      <x:c r="F152" t="n">
        <x:v>2022</x:v>
      </x:c>
      <x:c r="G152" t="str">
        <x:v>IMF Country Report No. 22/378</x:v>
      </x:c>
    </x:row>
    <x:row r="153">
      <x:c r="A153" t="str">
        <x:v>Nov-2022</x:v>
      </x:c>
      <x:c r="B153" t="str">
        <x:v>Cuenta Corriente (% PIB)</x:v>
      </x:c>
      <x:c r="C153" s="33" t="n">
        <x:v>2022</x:v>
      </x:c>
      <x:c r="D153" s="34" t="n">
        <x:v>2.1</x:v>
      </x:c>
      <x:c r="E153" t="str">
        <x:v>% del PIB</x:v>
      </x:c>
      <x:c r="F153" t="n">
        <x:v>2022</x:v>
      </x:c>
      <x:c r="G153" t="str">
        <x:v>IMF Country Report No. 22/378</x:v>
      </x:c>
    </x:row>
    <x:row r="154">
      <x:c r="A154" t="str">
        <x:v>Nov-2022</x:v>
      </x:c>
      <x:c r="B154" t="str">
        <x:v>Cuenta Corriente (% PIB)</x:v>
      </x:c>
      <x:c r="C154" s="33" t="n">
        <x:v>2023</x:v>
      </x:c>
      <x:c r="D154" s="34" t="n">
        <x:v>1.8</x:v>
      </x:c>
      <x:c r="E154" t="str">
        <x:v>% del PIB</x:v>
      </x:c>
      <x:c r="F154" t="n">
        <x:v>2022</x:v>
      </x:c>
      <x:c r="G154" t="str">
        <x:v>IMF Country Report No. 22/378</x:v>
      </x:c>
    </x:row>
    <x:row r="155">
      <x:c r="A155" t="str">
        <x:v>Nov-2022</x:v>
      </x:c>
      <x:c r="B155" t="str">
        <x:v>Cuenta Corriente (% PIB)</x:v>
      </x:c>
      <x:c r="C155" s="33" t="n">
        <x:v>2024</x:v>
      </x:c>
      <x:c r="D155" s="34" t="n">
        <x:v>1.9</x:v>
      </x:c>
      <x:c r="E155" t="str">
        <x:v>% del PIB</x:v>
      </x:c>
      <x:c r="F155" t="n">
        <x:v>2022</x:v>
      </x:c>
      <x:c r="G155" t="str">
        <x:v>IMF Country Report No. 22/378</x:v>
      </x:c>
    </x:row>
    <x:row r="156">
      <x:c r="A156" t="str">
        <x:v>Nov-2022</x:v>
      </x:c>
      <x:c r="B156" t="str">
        <x:v>Cuenta Corriente (% PIB)</x:v>
      </x:c>
      <x:c r="C156" s="33" t="n">
        <x:v>2025</x:v>
      </x:c>
      <x:c r="D156" s="34" t="n">
        <x:v>2</x:v>
      </x:c>
      <x:c r="E156" t="str">
        <x:v>% del PIB</x:v>
      </x:c>
      <x:c r="F156" t="n">
        <x:v>2022</x:v>
      </x:c>
      <x:c r="G156" t="str">
        <x:v>IMF Country Report No. 22/378</x:v>
      </x:c>
    </x:row>
    <x:row r="157">
      <x:c r="A157" t="str">
        <x:v>Nov-2022</x:v>
      </x:c>
      <x:c r="B157" t="str">
        <x:v>Cuenta Corriente (% PIB)</x:v>
      </x:c>
      <x:c r="C157" s="33" t="n">
        <x:v>2026</x:v>
      </x:c>
      <x:c r="D157" s="34" t="n">
        <x:v>2</x:v>
      </x:c>
      <x:c r="E157" t="str">
        <x:v>% del PIB</x:v>
      </x:c>
      <x:c r="F157" t="n">
        <x:v>2022</x:v>
      </x:c>
      <x:c r="G157" t="str">
        <x:v>IMF Country Report No. 22/378</x:v>
      </x:c>
    </x:row>
    <x:row r="158">
      <x:c r="A158" t="str">
        <x:v>Nov-2022</x:v>
      </x:c>
      <x:c r="B158" t="str">
        <x:v>Cuenta Corriente (% PIB)</x:v>
      </x:c>
      <x:c r="C158" s="33" t="n">
        <x:v>2027</x:v>
      </x:c>
      <x:c r="D158" s="34" t="n">
        <x:v>2</x:v>
      </x:c>
      <x:c r="E158" t="str">
        <x:v>% del PIB</x:v>
      </x:c>
      <x:c r="F158" t="n">
        <x:v>2022</x:v>
      </x:c>
      <x:c r="G158" t="str">
        <x:v>IMF Country Report No. 22/378</x:v>
      </x:c>
    </x:row>
    <x:row r="159">
      <x:c r="A159" t="str">
        <x:v>Nov-2022</x:v>
      </x:c>
      <x:c r="B159" t="str">
        <x:v>Balance Fiscal NFPS (% PIB)</x:v>
      </x:c>
      <x:c r="C159" s="33" t="n">
        <x:v>2022</x:v>
      </x:c>
      <x:c r="D159" s="34" t="n">
        <x:v>1</x:v>
      </x:c>
      <x:c r="E159" t="str">
        <x:v>% del PIB</x:v>
      </x:c>
      <x:c r="F159" t="n">
        <x:v>2022</x:v>
      </x:c>
      <x:c r="G159" t="str">
        <x:v>IMF Country Report No. 22/378</x:v>
      </x:c>
    </x:row>
    <x:row r="160">
      <x:c r="A160" t="str">
        <x:v>Nov-2022</x:v>
      </x:c>
      <x:c r="B160" t="str">
        <x:v>Balance Fiscal NFPS (% PIB)</x:v>
      </x:c>
      <x:c r="C160" s="33" t="n">
        <x:v>2023</x:v>
      </x:c>
      <x:c r="D160" s="34" t="n">
        <x:v>1.6</x:v>
      </x:c>
      <x:c r="E160" t="str">
        <x:v>% del PIB</x:v>
      </x:c>
      <x:c r="F160" t="n">
        <x:v>2022</x:v>
      </x:c>
      <x:c r="G160" t="str">
        <x:v>IMF Country Report No. 22/378</x:v>
      </x:c>
    </x:row>
    <x:row r="161">
      <x:c r="A161" t="str">
        <x:v>Nov-2022</x:v>
      </x:c>
      <x:c r="B161" t="str">
        <x:v>Balance Fiscal NFPS (% PIB)</x:v>
      </x:c>
      <x:c r="C161" s="33" t="n">
        <x:v>2024</x:v>
      </x:c>
      <x:c r="D161" s="34" t="n">
        <x:v>2</x:v>
      </x:c>
      <x:c r="E161" t="str">
        <x:v>% del PIB</x:v>
      </x:c>
      <x:c r="F161" t="n">
        <x:v>2022</x:v>
      </x:c>
      <x:c r="G161" t="str">
        <x:v>IMF Country Report No. 22/378</x:v>
      </x:c>
    </x:row>
    <x:row r="162">
      <x:c r="A162" t="str">
        <x:v>Nov-2022</x:v>
      </x:c>
      <x:c r="B162" t="str">
        <x:v>Balance Fiscal NFPS (% PIB)</x:v>
      </x:c>
      <x:c r="C162" s="33" t="n">
        <x:v>2025</x:v>
      </x:c>
      <x:c r="D162" s="34" t="n">
        <x:v>2.1</x:v>
      </x:c>
      <x:c r="E162" t="str">
        <x:v>% del PIB</x:v>
      </x:c>
      <x:c r="F162" t="n">
        <x:v>2022</x:v>
      </x:c>
      <x:c r="G162" t="str">
        <x:v>IMF Country Report No. 22/378</x:v>
      </x:c>
    </x:row>
    <x:row r="163">
      <x:c r="A163" t="str">
        <x:v>Nov-2022</x:v>
      </x:c>
      <x:c r="B163" t="str">
        <x:v>Balance Fiscal NFPS (% PIB)</x:v>
      </x:c>
      <x:c r="C163" s="33" t="n">
        <x:v>2026</x:v>
      </x:c>
      <x:c r="D163" s="34" t="n">
        <x:v>2.2</x:v>
      </x:c>
      <x:c r="E163" t="str">
        <x:v>% del PIB</x:v>
      </x:c>
      <x:c r="F163" t="n">
        <x:v>2022</x:v>
      </x:c>
      <x:c r="G163" t="str">
        <x:v>IMF Country Report No. 22/378</x:v>
      </x:c>
    </x:row>
    <x:row r="164">
      <x:c r="A164" t="str">
        <x:v>Nov-2022</x:v>
      </x:c>
      <x:c r="B164" t="str">
        <x:v>Balance Fiscal NFPS (% PIB)</x:v>
      </x:c>
      <x:c r="C164" s="33" t="n">
        <x:v>2027</x:v>
      </x:c>
      <x:c r="D164" s="34" t="n">
        <x:v>1.9</x:v>
      </x:c>
      <x:c r="E164" t="str">
        <x:v>% del PIB</x:v>
      </x:c>
      <x:c r="F164" t="n">
        <x:v>2022</x:v>
      </x:c>
      <x:c r="G164" t="str">
        <x:v>IMF Country Report No. 22/378</x:v>
      </x:c>
    </x:row>
    <x:row r="165">
      <x:c r="A165" t="str">
        <x:v>Nov-2022</x:v>
      </x:c>
      <x:c r="B165" t="str">
        <x:v>Deuda Pública (% PIB)</x:v>
      </x:c>
      <x:c r="C165" s="33" t="n">
        <x:v>2022</x:v>
      </x:c>
      <x:c r="D165" s="34" t="n">
        <x:v>58.3</x:v>
      </x:c>
      <x:c r="E165" t="str">
        <x:v>% del PIB</x:v>
      </x:c>
      <x:c r="F165" t="n">
        <x:v>2022</x:v>
      </x:c>
      <x:c r="G165" t="str">
        <x:v>IMF Country Report No. 22/378</x:v>
      </x:c>
    </x:row>
    <x:row r="166">
      <x:c r="A166" t="str">
        <x:v>Nov-2022</x:v>
      </x:c>
      <x:c r="B166" t="str">
        <x:v>Deuda Pública (% PIB)</x:v>
      </x:c>
      <x:c r="C166" s="33" t="n">
        <x:v>2023</x:v>
      </x:c>
      <x:c r="D166" s="34" t="n">
        <x:v>55.6</x:v>
      </x:c>
      <x:c r="E166" t="str">
        <x:v>% del PIB</x:v>
      </x:c>
      <x:c r="F166" t="n">
        <x:v>2022</x:v>
      </x:c>
      <x:c r="G166" t="str">
        <x:v>IMF Country Report No. 22/378</x:v>
      </x:c>
    </x:row>
    <x:row r="167">
      <x:c r="A167" t="str">
        <x:v>Nov-2022</x:v>
      </x:c>
      <x:c r="B167" t="str">
        <x:v>Deuda Pública (% PIB)</x:v>
      </x:c>
      <x:c r="C167" s="33" t="n">
        <x:v>2024</x:v>
      </x:c>
      <x:c r="D167" s="34" t="n">
        <x:v>53.1</x:v>
      </x:c>
      <x:c r="E167" t="str">
        <x:v>% del PIB</x:v>
      </x:c>
      <x:c r="F167" t="n">
        <x:v>2022</x:v>
      </x:c>
      <x:c r="G167" t="str">
        <x:v>IMF Country Report No. 22/378</x:v>
      </x:c>
    </x:row>
    <x:row r="168">
      <x:c r="A168" t="str">
        <x:v>Nov-2022</x:v>
      </x:c>
      <x:c r="B168" t="str">
        <x:v>Deuda Pública (% PIB)</x:v>
      </x:c>
      <x:c r="C168" s="33" t="n">
        <x:v>2025</x:v>
      </x:c>
      <x:c r="D168" s="34" t="n">
        <x:v>49.3</x:v>
      </x:c>
      <x:c r="E168" t="str">
        <x:v>% del PIB</x:v>
      </x:c>
      <x:c r="F168" t="n">
        <x:v>2022</x:v>
      </x:c>
      <x:c r="G168" t="str">
        <x:v>IMF Country Report No. 22/378</x:v>
      </x:c>
    </x:row>
    <x:row r="169">
      <x:c r="A169" t="str">
        <x:v>Nov-2022</x:v>
      </x:c>
      <x:c r="B169" t="str">
        <x:v>Deuda Pública (% PIB)</x:v>
      </x:c>
      <x:c r="C169" s="33" t="n">
        <x:v>2026</x:v>
      </x:c>
      <x:c r="D169" s="34" t="n">
        <x:v>45.3</x:v>
      </x:c>
      <x:c r="E169" t="str">
        <x:v>% del PIB</x:v>
      </x:c>
      <x:c r="F169" t="n">
        <x:v>2022</x:v>
      </x:c>
      <x:c r="G169" t="str">
        <x:v>IMF Country Report No. 22/378</x:v>
      </x:c>
    </x:row>
    <x:row r="170">
      <x:c r="A170" t="str">
        <x:v>Nov-2022</x:v>
      </x:c>
      <x:c r="B170" t="str">
        <x:v>Deuda Pública (% PIB)</x:v>
      </x:c>
      <x:c r="C170" s="33" t="n">
        <x:v>2027</x:v>
      </x:c>
      <x:c r="D170" s="34" t="n">
        <x:v>42</x:v>
      </x:c>
      <x:c r="E170" t="str">
        <x:v>% del PIB</x:v>
      </x:c>
      <x:c r="F170" t="n">
        <x:v>2022</x:v>
      </x:c>
      <x:c r="G170" t="str">
        <x:v>IMF Country Report No. 22/378</x:v>
      </x:c>
    </x:row>
    <x:row r="171">
      <x:c r="A171" t="str">
        <x:v>Nov-2022</x:v>
      </x:c>
      <x:c r="B171" t="str">
        <x:v>Precio Petróleo Ecuador (USD/bbl)</x:v>
      </x:c>
      <x:c r="C171" s="33" t="n">
        <x:v>2022</x:v>
      </x:c>
      <x:c r="D171" s="34" t="n">
        <x:v>87.8</x:v>
      </x:c>
      <x:c r="E171" t="str">
        <x:v>USD/barril</x:v>
      </x:c>
      <x:c r="F171" t="n">
        <x:v>2022</x:v>
      </x:c>
      <x:c r="G171" t="str">
        <x:v>IMF Country Report No. 22/378</x:v>
      </x:c>
    </x:row>
    <x:row r="172">
      <x:c r="A172" t="str">
        <x:v>Nov-2022</x:v>
      </x:c>
      <x:c r="B172" t="str">
        <x:v>Precio Petróleo Ecuador (USD/bbl)</x:v>
      </x:c>
      <x:c r="C172" s="33" t="n">
        <x:v>2023</x:v>
      </x:c>
      <x:c r="D172" s="34" t="n">
        <x:v>76</x:v>
      </x:c>
      <x:c r="E172" t="str">
        <x:v>USD/barril</x:v>
      </x:c>
      <x:c r="F172" t="n">
        <x:v>2022</x:v>
      </x:c>
      <x:c r="G172" t="str">
        <x:v>IMF Country Report No. 22/378</x:v>
      </x:c>
    </x:row>
    <x:row r="173">
      <x:c r="A173" t="str">
        <x:v>Nov-2022</x:v>
      </x:c>
      <x:c r="B173" t="str">
        <x:v>Precio Petróleo Ecuador (USD/bbl)</x:v>
      </x:c>
      <x:c r="C173" s="33" t="n">
        <x:v>2024</x:v>
      </x:c>
      <x:c r="D173" s="34" t="n">
        <x:v>72.6</x:v>
      </x:c>
      <x:c r="E173" t="str">
        <x:v>USD/barril</x:v>
      </x:c>
      <x:c r="F173" t="n">
        <x:v>2022</x:v>
      </x:c>
      <x:c r="G173" t="str">
        <x:v>IMF Country Report No. 22/378</x:v>
      </x:c>
    </x:row>
    <x:row r="174">
      <x:c r="A174" t="str">
        <x:v>Nov-2022</x:v>
      </x:c>
      <x:c r="B174" t="str">
        <x:v>Precio Petróleo Ecuador (USD/bbl)</x:v>
      </x:c>
      <x:c r="C174" s="33" t="n">
        <x:v>2025</x:v>
      </x:c>
      <x:c r="D174" s="34" t="n">
        <x:v>69.7</x:v>
      </x:c>
      <x:c r="E174" t="str">
        <x:v>USD/barril</x:v>
      </x:c>
      <x:c r="F174" t="n">
        <x:v>2022</x:v>
      </x:c>
      <x:c r="G174" t="str">
        <x:v>IMF Country Report No. 22/378</x:v>
      </x:c>
    </x:row>
    <x:row r="175">
      <x:c r="A175" t="str">
        <x:v>Nov-2022</x:v>
      </x:c>
      <x:c r="B175" t="str">
        <x:v>Precio Petróleo Ecuador (USD/bbl)</x:v>
      </x:c>
      <x:c r="C175" s="33" t="n">
        <x:v>2026</x:v>
      </x:c>
      <x:c r="D175" s="34" t="n">
        <x:v>66.4</x:v>
      </x:c>
      <x:c r="E175" t="str">
        <x:v>USD/barril</x:v>
      </x:c>
      <x:c r="F175" t="n">
        <x:v>2022</x:v>
      </x:c>
      <x:c r="G175" t="str">
        <x:v>IMF Country Report No. 22/378</x:v>
      </x:c>
    </x:row>
    <x:row r="176">
      <x:c r="A176" t="str">
        <x:v>Nov-2022</x:v>
      </x:c>
      <x:c r="B176" t="str">
        <x:v>Precio Petróleo Ecuador (USD/bbl)</x:v>
      </x:c>
      <x:c r="C176" s="33" t="n">
        <x:v>2027</x:v>
      </x:c>
      <x:c r="D176" s="34" t="n">
        <x:v>63.8</x:v>
      </x:c>
      <x:c r="E176" t="str">
        <x:v>USD/barril</x:v>
      </x:c>
      <x:c r="F176" t="n">
        <x:v>2022</x:v>
      </x:c>
      <x:c r="G176" t="str">
        <x:v>IMF Country Report No. 22/378</x:v>
      </x:c>
    </x:row>
    <x:row r="177">
      <x:c r="A177" t="str">
        <x:v>Nov-2022</x:v>
      </x:c>
      <x:c r="B177" t="str">
        <x:v>PIB Nominal (USD mn)</x:v>
      </x:c>
      <x:c r="C177" s="33" t="n">
        <x:v>2022</x:v>
      </x:c>
      <x:c r="D177" s="34" t="n">
        <x:v>116076</x:v>
      </x:c>
      <x:c r="E177" t="str">
        <x:v>USD millones</x:v>
      </x:c>
      <x:c r="F177" t="n">
        <x:v>2022</x:v>
      </x:c>
      <x:c r="G177" t="str">
        <x:v>IMF Country Report No. 22/378</x:v>
      </x:c>
    </x:row>
    <x:row r="178">
      <x:c r="A178" t="str">
        <x:v>Nov-2022</x:v>
      </x:c>
      <x:c r="B178" t="str">
        <x:v>PIB Nominal (USD mn)</x:v>
      </x:c>
      <x:c r="C178" s="33" t="n">
        <x:v>2023</x:v>
      </x:c>
      <x:c r="D178" s="34" t="n">
        <x:v>121106</x:v>
      </x:c>
      <x:c r="E178" t="str">
        <x:v>USD millones</x:v>
      </x:c>
      <x:c r="F178" t="n">
        <x:v>2022</x:v>
      </x:c>
      <x:c r="G178" t="str">
        <x:v>IMF Country Report No. 22/378</x:v>
      </x:c>
    </x:row>
    <x:row r="179">
      <x:c r="A179" t="str">
        <x:v>Nov-2022</x:v>
      </x:c>
      <x:c r="B179" t="str">
        <x:v>PIB Nominal (USD mn)</x:v>
      </x:c>
      <x:c r="C179" s="33" t="n">
        <x:v>2024</x:v>
      </x:c>
      <x:c r="D179" s="34" t="n">
        <x:v>126093</x:v>
      </x:c>
      <x:c r="E179" t="str">
        <x:v>USD millones</x:v>
      </x:c>
      <x:c r="F179" t="n">
        <x:v>2022</x:v>
      </x:c>
      <x:c r="G179" t="str">
        <x:v>IMF Country Report No. 22/378</x:v>
      </x:c>
    </x:row>
    <x:row r="180">
      <x:c r="A180" t="str">
        <x:v>Nov-2022</x:v>
      </x:c>
      <x:c r="B180" t="str">
        <x:v>PIB Nominal (USD mn)</x:v>
      </x:c>
      <x:c r="C180" s="33" t="n">
        <x:v>2025</x:v>
      </x:c>
      <x:c r="D180" s="34" t="n">
        <x:v>131036</x:v>
      </x:c>
      <x:c r="E180" t="str">
        <x:v>USD millones</x:v>
      </x:c>
      <x:c r="F180" t="n">
        <x:v>2022</x:v>
      </x:c>
      <x:c r="G180" t="str">
        <x:v>IMF Country Report No. 22/378</x:v>
      </x:c>
    </x:row>
    <x:row r="181">
      <x:c r="A181" t="str">
        <x:v>Nov-2022</x:v>
      </x:c>
      <x:c r="B181" t="str">
        <x:v>PIB Nominal (USD mn)</x:v>
      </x:c>
      <x:c r="C181" s="33" t="n">
        <x:v>2026</x:v>
      </x:c>
      <x:c r="D181" s="34" t="n">
        <x:v>136175</x:v>
      </x:c>
      <x:c r="E181" t="str">
        <x:v>USD millones</x:v>
      </x:c>
      <x:c r="F181" t="n">
        <x:v>2022</x:v>
      </x:c>
      <x:c r="G181" t="str">
        <x:v>IMF Country Report No. 22/378</x:v>
      </x:c>
    </x:row>
    <x:row r="182">
      <x:c r="A182" t="str">
        <x:v>Nov-2022</x:v>
      </x:c>
      <x:c r="B182" t="str">
        <x:v>PIB Nominal (USD mn)</x:v>
      </x:c>
      <x:c r="C182" s="33" t="n">
        <x:v>2027</x:v>
      </x:c>
      <x:c r="D182" s="34" t="n">
        <x:v>141515</x:v>
      </x:c>
      <x:c r="E182" t="str">
        <x:v>USD millones</x:v>
      </x:c>
      <x:c r="F182" t="n">
        <x:v>2022</x:v>
      </x:c>
      <x:c r="G182" t="str">
        <x:v>IMF Country Report No. 22/378</x:v>
      </x:c>
    </x:row>
    <x:row r="183">
      <x:c r="A183" t="str">
        <x:v>Nov-2022</x:v>
      </x:c>
      <x:c r="B183" t="str">
        <x:v>Reservas Internacionales (USD mn)</x:v>
      </x:c>
      <x:c r="C183" s="33" t="n">
        <x:v>2022</x:v>
      </x:c>
      <x:c r="D183" s="34" t="n">
        <x:v>9693</x:v>
      </x:c>
      <x:c r="E183" t="str">
        <x:v>USD millones</x:v>
      </x:c>
      <x:c r="F183" t="n">
        <x:v>2022</x:v>
      </x:c>
      <x:c r="G183" t="str">
        <x:v>IMF Country Report No. 22/378</x:v>
      </x:c>
    </x:row>
    <x:row r="184">
      <x:c r="A184" t="str">
        <x:v>Nov-2022</x:v>
      </x:c>
      <x:c r="B184" t="str">
        <x:v>Reservas Internacionales (USD mn)</x:v>
      </x:c>
      <x:c r="C184" s="33" t="n">
        <x:v>2023</x:v>
      </x:c>
      <x:c r="D184" s="34" t="n">
        <x:v>12050</x:v>
      </x:c>
      <x:c r="E184" t="str">
        <x:v>USD millones</x:v>
      </x:c>
      <x:c r="F184" t="n">
        <x:v>2022</x:v>
      </x:c>
      <x:c r="G184" t="str">
        <x:v>IMF Country Report No. 22/378</x:v>
      </x:c>
    </x:row>
    <x:row r="185">
      <x:c r="A185" t="str">
        <x:v>Nov-2022</x:v>
      </x:c>
      <x:c r="B185" t="str">
        <x:v>Reservas Internacionales (USD mn)</x:v>
      </x:c>
      <x:c r="C185" s="33" t="n">
        <x:v>2024</x:v>
      </x:c>
      <x:c r="D185" s="34" t="n">
        <x:v>14543</x:v>
      </x:c>
      <x:c r="E185" t="str">
        <x:v>USD millones</x:v>
      </x:c>
      <x:c r="F185" t="n">
        <x:v>2022</x:v>
      </x:c>
      <x:c r="G185" t="str">
        <x:v>IMF Country Report No. 22/378</x:v>
      </x:c>
    </x:row>
    <x:row r="186">
      <x:c r="A186" t="str">
        <x:v>Nov-2022</x:v>
      </x:c>
      <x:c r="B186" t="str">
        <x:v>Reservas Internacionales (USD mn)</x:v>
      </x:c>
      <x:c r="C186" s="33" t="n">
        <x:v>2025</x:v>
      </x:c>
      <x:c r="D186" s="34" t="n">
        <x:v>16360</x:v>
      </x:c>
      <x:c r="E186" t="str">
        <x:v>USD millones</x:v>
      </x:c>
      <x:c r="F186" t="n">
        <x:v>2022</x:v>
      </x:c>
      <x:c r="G186" t="str">
        <x:v>IMF Country Report No. 22/378</x:v>
      </x:c>
    </x:row>
    <x:row r="187">
      <x:c r="A187" t="str">
        <x:v>Nov-2022</x:v>
      </x:c>
      <x:c r="B187" t="str">
        <x:v>Reservas Internacionales (USD mn)</x:v>
      </x:c>
      <x:c r="C187" s="33" t="n">
        <x:v>2026</x:v>
      </x:c>
      <x:c r="D187" s="34" t="n">
        <x:v>17836</x:v>
      </x:c>
      <x:c r="E187" t="str">
        <x:v>USD millones</x:v>
      </x:c>
      <x:c r="F187" t="n">
        <x:v>2022</x:v>
      </x:c>
      <x:c r="G187" t="str">
        <x:v>IMF Country Report No. 22/378</x:v>
      </x:c>
    </x:row>
    <x:row r="188">
      <x:c r="A188" t="str">
        <x:v>Nov-2022</x:v>
      </x:c>
      <x:c r="B188" t="str">
        <x:v>Reservas Internacionales (USD mn)</x:v>
      </x:c>
      <x:c r="C188" s="33" t="n">
        <x:v>2027</x:v>
      </x:c>
      <x:c r="D188" s="34" t="n">
        <x:v>19001</x:v>
      </x:c>
      <x:c r="E188" t="str">
        <x:v>USD millones</x:v>
      </x:c>
      <x:c r="F188" t="n">
        <x:v>2022</x:v>
      </x:c>
      <x:c r="G188" t="str">
        <x:v>IMF Country Report No. 22/378</x:v>
      </x:c>
    </x:row>
    <x:row r="189">
      <x:c r="A189" t="str">
        <x:v>Dic-2024</x:v>
      </x:c>
      <x:c r="B189" t="str">
        <x:v>Real GDP (%)</x:v>
      </x:c>
      <x:c r="C189" s="33" t="n">
        <x:v>2024</x:v>
      </x:c>
      <x:c r="D189" s="34" t="n">
        <x:v>-0.4</x:v>
      </x:c>
      <x:c r="E189" t="str">
        <x:v>%</x:v>
      </x:c>
      <x:c r="F189" t="n">
        <x:v>2024</x:v>
      </x:c>
      <x:c r="G189" t="str">
        <x:v>IMF Country Report No. 24/357</x:v>
      </x:c>
    </x:row>
    <x:row r="190">
      <x:c r="A190" t="str">
        <x:v>Dic-2024</x:v>
      </x:c>
      <x:c r="B190" t="str">
        <x:v>Real GDP (%)</x:v>
      </x:c>
      <x:c r="C190" s="33" t="n">
        <x:v>2025</x:v>
      </x:c>
      <x:c r="D190" s="34" t="n">
        <x:v>1.6</x:v>
      </x:c>
      <x:c r="E190" t="str">
        <x:v>%</x:v>
      </x:c>
      <x:c r="F190" t="n">
        <x:v>2024</x:v>
      </x:c>
      <x:c r="G190" t="str">
        <x:v>IMF Country Report No. 24/357</x:v>
      </x:c>
    </x:row>
    <x:row r="191">
      <x:c r="A191" t="str">
        <x:v>Dic-2024</x:v>
      </x:c>
      <x:c r="B191" t="str">
        <x:v>Real GDP (%)</x:v>
      </x:c>
      <x:c r="C191" s="33" t="n">
        <x:v>2026</x:v>
      </x:c>
      <x:c r="D191" s="34" t="n">
        <x:v>1.8</x:v>
      </x:c>
      <x:c r="E191" t="str">
        <x:v>%</x:v>
      </x:c>
      <x:c r="F191" t="n">
        <x:v>2024</x:v>
      </x:c>
      <x:c r="G191" t="str">
        <x:v>IMF Country Report No. 24/357</x:v>
      </x:c>
    </x:row>
    <x:row r="192">
      <x:c r="A192" t="str">
        <x:v>Dic-2024</x:v>
      </x:c>
      <x:c r="B192" t="str">
        <x:v>Real GDP (%)</x:v>
      </x:c>
      <x:c r="C192" s="33" t="n">
        <x:v>2027</x:v>
      </x:c>
      <x:c r="D192" s="34" t="n">
        <x:v>2.4</x:v>
      </x:c>
      <x:c r="E192" t="str">
        <x:v>%</x:v>
      </x:c>
      <x:c r="F192" t="n">
        <x:v>2024</x:v>
      </x:c>
      <x:c r="G192" t="str">
        <x:v>IMF Country Report No. 24/357</x:v>
      </x:c>
    </x:row>
    <x:row r="193">
      <x:c r="A193" t="str">
        <x:v>Dic-2024</x:v>
      </x:c>
      <x:c r="B193" t="str">
        <x:v>Real GDP (%)</x:v>
      </x:c>
      <x:c r="C193" s="33" t="n">
        <x:v>2028</x:v>
      </x:c>
      <x:c r="D193" s="34" t="n">
        <x:v>2.5</x:v>
      </x:c>
      <x:c r="E193" t="str">
        <x:v>%</x:v>
      </x:c>
      <x:c r="F193" t="n">
        <x:v>2024</x:v>
      </x:c>
      <x:c r="G193" t="str">
        <x:v>IMF Country Report No. 24/357</x:v>
      </x:c>
    </x:row>
    <x:row r="194">
      <x:c r="A194" t="str">
        <x:v>Dic-2024</x:v>
      </x:c>
      <x:c r="B194" t="str">
        <x:v>Real GDP (%)</x:v>
      </x:c>
      <x:c r="C194" s="33" t="n">
        <x:v>2029</x:v>
      </x:c>
      <x:c r="D194" s="34" t="n">
        <x:v>2.5</x:v>
      </x:c>
      <x:c r="E194" t="str">
        <x:v>%</x:v>
      </x:c>
      <x:c r="F194" t="n">
        <x:v>2024</x:v>
      </x:c>
      <x:c r="G194" t="str">
        <x:v>IMF Country Report No. 24/357</x:v>
      </x:c>
    </x:row>
    <x:row r="195">
      <x:c r="A195" t="str">
        <x:v>Dic-2024</x:v>
      </x:c>
      <x:c r="B195" t="str">
        <x:v>Inflación promedio (%)</x:v>
      </x:c>
      <x:c r="C195" s="33" t="n">
        <x:v>2024</x:v>
      </x:c>
      <x:c r="D195" s="34" t="n">
        <x:v>1.9</x:v>
      </x:c>
      <x:c r="E195" t="str">
        <x:v>%</x:v>
      </x:c>
      <x:c r="F195" t="n">
        <x:v>2024</x:v>
      </x:c>
      <x:c r="G195" t="str">
        <x:v>IMF Country Report No. 24/357</x:v>
      </x:c>
    </x:row>
    <x:row r="196">
      <x:c r="A196" t="str">
        <x:v>Dic-2024</x:v>
      </x:c>
      <x:c r="B196" t="str">
        <x:v>Inflación promedio (%)</x:v>
      </x:c>
      <x:c r="C196" s="33" t="n">
        <x:v>2025</x:v>
      </x:c>
      <x:c r="D196" s="34" t="n">
        <x:v>2.2</x:v>
      </x:c>
      <x:c r="E196" t="str">
        <x:v>%</x:v>
      </x:c>
      <x:c r="F196" t="n">
        <x:v>2024</x:v>
      </x:c>
      <x:c r="G196" t="str">
        <x:v>IMF Country Report No. 24/357</x:v>
      </x:c>
    </x:row>
    <x:row r="197">
      <x:c r="A197" t="str">
        <x:v>Dic-2024</x:v>
      </x:c>
      <x:c r="B197" t="str">
        <x:v>Inflación promedio (%)</x:v>
      </x:c>
      <x:c r="C197" s="33" t="n">
        <x:v>2026</x:v>
      </x:c>
      <x:c r="D197" s="34" t="n">
        <x:v>1.6</x:v>
      </x:c>
      <x:c r="E197" t="str">
        <x:v>%</x:v>
      </x:c>
      <x:c r="F197" t="n">
        <x:v>2024</x:v>
      </x:c>
      <x:c r="G197" t="str">
        <x:v>IMF Country Report No. 24/357</x:v>
      </x:c>
    </x:row>
    <x:row r="198">
      <x:c r="A198" t="str">
        <x:v>Dic-2024</x:v>
      </x:c>
      <x:c r="B198" t="str">
        <x:v>Inflación promedio (%)</x:v>
      </x:c>
      <x:c r="C198" s="33" t="n">
        <x:v>2027</x:v>
      </x:c>
      <x:c r="D198" s="34" t="n">
        <x:v>1.5</x:v>
      </x:c>
      <x:c r="E198" t="str">
        <x:v>%</x:v>
      </x:c>
      <x:c r="F198" t="n">
        <x:v>2024</x:v>
      </x:c>
      <x:c r="G198" t="str">
        <x:v>IMF Country Report No. 24/357</x:v>
      </x:c>
    </x:row>
    <x:row r="199">
      <x:c r="A199" t="str">
        <x:v>Dic-2024</x:v>
      </x:c>
      <x:c r="B199" t="str">
        <x:v>Inflación promedio (%)</x:v>
      </x:c>
      <x:c r="C199" s="33" t="n">
        <x:v>2028</x:v>
      </x:c>
      <x:c r="D199" s="34" t="n">
        <x:v>1.5</x:v>
      </x:c>
      <x:c r="E199" t="str">
        <x:v>%</x:v>
      </x:c>
      <x:c r="F199" t="n">
        <x:v>2024</x:v>
      </x:c>
      <x:c r="G199" t="str">
        <x:v>IMF Country Report No. 24/357</x:v>
      </x:c>
    </x:row>
    <x:row r="200">
      <x:c r="A200" t="str">
        <x:v>Dic-2024</x:v>
      </x:c>
      <x:c r="B200" t="str">
        <x:v>Inflación promedio (%)</x:v>
      </x:c>
      <x:c r="C200" s="33" t="n">
        <x:v>2029</x:v>
      </x:c>
      <x:c r="D200" s="34" t="n">
        <x:v>1.5</x:v>
      </x:c>
      <x:c r="E200" t="str">
        <x:v>%</x:v>
      </x:c>
      <x:c r="F200" t="n">
        <x:v>2024</x:v>
      </x:c>
      <x:c r="G200" t="str">
        <x:v>IMF Country Report No. 24/357</x:v>
      </x:c>
    </x:row>
    <x:row r="201">
      <x:c r="A201" t="str">
        <x:v>Dic-2024</x:v>
      </x:c>
      <x:c r="B201" t="str">
        <x:v>Cuenta Corriente (% PIB)</x:v>
      </x:c>
      <x:c r="C201" s="33" t="n">
        <x:v>2024</x:v>
      </x:c>
      <x:c r="D201" s="34" t="n">
        <x:v>4.4</x:v>
      </x:c>
      <x:c r="E201" t="str">
        <x:v>% del PIB</x:v>
      </x:c>
      <x:c r="F201" t="n">
        <x:v>2024</x:v>
      </x:c>
      <x:c r="G201" t="str">
        <x:v>IMF Country Report No. 24/357</x:v>
      </x:c>
    </x:row>
    <x:row r="202">
      <x:c r="A202" t="str">
        <x:v>Dic-2024</x:v>
      </x:c>
      <x:c r="B202" t="str">
        <x:v>Cuenta Corriente (% PIB)</x:v>
      </x:c>
      <x:c r="C202" s="33" t="n">
        <x:v>2025</x:v>
      </x:c>
      <x:c r="D202" s="34" t="n">
        <x:v>3.1</x:v>
      </x:c>
      <x:c r="E202" t="str">
        <x:v>% del PIB</x:v>
      </x:c>
      <x:c r="F202" t="n">
        <x:v>2024</x:v>
      </x:c>
      <x:c r="G202" t="str">
        <x:v>IMF Country Report No. 24/357</x:v>
      </x:c>
    </x:row>
    <x:row r="203">
      <x:c r="A203" t="str">
        <x:v>Dic-2024</x:v>
      </x:c>
      <x:c r="B203" t="str">
        <x:v>Cuenta Corriente (% PIB)</x:v>
      </x:c>
      <x:c r="C203" s="33" t="n">
        <x:v>2026</x:v>
      </x:c>
      <x:c r="D203" s="34" t="n">
        <x:v>2.8</x:v>
      </x:c>
      <x:c r="E203" t="str">
        <x:v>% del PIB</x:v>
      </x:c>
      <x:c r="F203" t="n">
        <x:v>2024</x:v>
      </x:c>
      <x:c r="G203" t="str">
        <x:v>IMF Country Report No. 24/357</x:v>
      </x:c>
    </x:row>
    <x:row r="204">
      <x:c r="A204" t="str">
        <x:v>Dic-2024</x:v>
      </x:c>
      <x:c r="B204" t="str">
        <x:v>Cuenta Corriente (% PIB)</x:v>
      </x:c>
      <x:c r="C204" s="33" t="n">
        <x:v>2027</x:v>
      </x:c>
      <x:c r="D204" s="34" t="n">
        <x:v>2.6</x:v>
      </x:c>
      <x:c r="E204" t="str">
        <x:v>% del PIB</x:v>
      </x:c>
      <x:c r="F204" t="n">
        <x:v>2024</x:v>
      </x:c>
      <x:c r="G204" t="str">
        <x:v>IMF Country Report No. 24/357</x:v>
      </x:c>
    </x:row>
    <x:row r="205">
      <x:c r="A205" t="str">
        <x:v>Dic-2024</x:v>
      </x:c>
      <x:c r="B205" t="str">
        <x:v>Cuenta Corriente (% PIB)</x:v>
      </x:c>
      <x:c r="C205" s="33" t="n">
        <x:v>2028</x:v>
      </x:c>
      <x:c r="D205" s="34" t="n">
        <x:v>2.5</x:v>
      </x:c>
      <x:c r="E205" t="str">
        <x:v>% del PIB</x:v>
      </x:c>
      <x:c r="F205" t="n">
        <x:v>2024</x:v>
      </x:c>
      <x:c r="G205" t="str">
        <x:v>IMF Country Report No. 24/357</x:v>
      </x:c>
    </x:row>
    <x:row r="206">
      <x:c r="A206" t="str">
        <x:v>Dic-2024</x:v>
      </x:c>
      <x:c r="B206" t="str">
        <x:v>Cuenta Corriente (% PIB)</x:v>
      </x:c>
      <x:c r="C206" s="33" t="n">
        <x:v>2029</x:v>
      </x:c>
      <x:c r="D206" s="34" t="n">
        <x:v>2.5</x:v>
      </x:c>
      <x:c r="E206" t="str">
        <x:v>% del PIB</x:v>
      </x:c>
      <x:c r="F206" t="n">
        <x:v>2024</x:v>
      </x:c>
      <x:c r="G206" t="str">
        <x:v>IMF Country Report No. 24/357</x:v>
      </x:c>
    </x:row>
    <x:row r="207">
      <x:c r="A207" t="str">
        <x:v>Dic-2024</x:v>
      </x:c>
      <x:c r="B207" t="str">
        <x:v>Balance Fiscal NFPS (% PIB)</x:v>
      </x:c>
      <x:c r="C207" s="33" t="n">
        <x:v>2024</x:v>
      </x:c>
      <x:c r="D207" s="34" t="n">
        <x:v>-1.8</x:v>
      </x:c>
      <x:c r="E207" t="str">
        <x:v>% del PIB</x:v>
      </x:c>
      <x:c r="F207" t="n">
        <x:v>2024</x:v>
      </x:c>
      <x:c r="G207" t="str">
        <x:v>IMF Country Report No. 24/357</x:v>
      </x:c>
    </x:row>
    <x:row r="208">
      <x:c r="A208" t="str">
        <x:v>Dic-2024</x:v>
      </x:c>
      <x:c r="B208" t="str">
        <x:v>Balance Fiscal NFPS (% PIB)</x:v>
      </x:c>
      <x:c r="C208" s="33" t="n">
        <x:v>2025</x:v>
      </x:c>
      <x:c r="D208" s="34" t="n">
        <x:v>-1.3</x:v>
      </x:c>
      <x:c r="E208" t="str">
        <x:v>% del PIB</x:v>
      </x:c>
      <x:c r="F208" t="n">
        <x:v>2024</x:v>
      </x:c>
      <x:c r="G208" t="str">
        <x:v>IMF Country Report No. 24/357</x:v>
      </x:c>
    </x:row>
    <x:row r="209">
      <x:c r="A209" t="str">
        <x:v>Dic-2024</x:v>
      </x:c>
      <x:c r="B209" t="str">
        <x:v>Balance Fiscal NFPS (% PIB)</x:v>
      </x:c>
      <x:c r="C209" s="33" t="n">
        <x:v>2026</x:v>
      </x:c>
      <x:c r="D209" s="34" t="n">
        <x:v>-0.2</x:v>
      </x:c>
      <x:c r="E209" t="str">
        <x:v>% del PIB</x:v>
      </x:c>
      <x:c r="F209" t="n">
        <x:v>2024</x:v>
      </x:c>
      <x:c r="G209" t="str">
        <x:v>IMF Country Report No. 24/357</x:v>
      </x:c>
    </x:row>
    <x:row r="210">
      <x:c r="A210" t="str">
        <x:v>Dic-2024</x:v>
      </x:c>
      <x:c r="B210" t="str">
        <x:v>Balance Fiscal NFPS (% PIB)</x:v>
      </x:c>
      <x:c r="C210" s="33" t="n">
        <x:v>2027</x:v>
      </x:c>
      <x:c r="D210" s="34" t="n">
        <x:v>0</x:v>
      </x:c>
      <x:c r="E210" t="str">
        <x:v>% del PIB</x:v>
      </x:c>
      <x:c r="F210" t="n">
        <x:v>2024</x:v>
      </x:c>
      <x:c r="G210" t="str">
        <x:v>IMF Country Report No. 24/357</x:v>
      </x:c>
    </x:row>
    <x:row r="211">
      <x:c r="A211" t="str">
        <x:v>Dic-2024</x:v>
      </x:c>
      <x:c r="B211" t="str">
        <x:v>Balance Fiscal NFPS (% PIB)</x:v>
      </x:c>
      <x:c r="C211" s="33" t="n">
        <x:v>2028</x:v>
      </x:c>
      <x:c r="D211" s="34" t="n">
        <x:v>0.5</x:v>
      </x:c>
      <x:c r="E211" t="str">
        <x:v>% del PIB</x:v>
      </x:c>
      <x:c r="F211" t="n">
        <x:v>2024</x:v>
      </x:c>
      <x:c r="G211" t="str">
        <x:v>IMF Country Report No. 24/357</x:v>
      </x:c>
    </x:row>
    <x:row r="212">
      <x:c r="A212" t="str">
        <x:v>Dic-2024</x:v>
      </x:c>
      <x:c r="B212" t="str">
        <x:v>Balance Fiscal NFPS (% PIB)</x:v>
      </x:c>
      <x:c r="C212" s="33" t="n">
        <x:v>2029</x:v>
      </x:c>
      <x:c r="D212" s="34" t="n">
        <x:v>0.8</x:v>
      </x:c>
      <x:c r="E212" t="str">
        <x:v>% del PIB</x:v>
      </x:c>
      <x:c r="F212" t="n">
        <x:v>2024</x:v>
      </x:c>
      <x:c r="G212" t="str">
        <x:v>IMF Country Report No. 24/357</x:v>
      </x:c>
    </x:row>
    <x:row r="213">
      <x:c r="A213" t="str">
        <x:v>Dic-2024</x:v>
      </x:c>
      <x:c r="B213" t="str">
        <x:v>Deuda Pública (% PIB)</x:v>
      </x:c>
      <x:c r="C213" s="33" t="n">
        <x:v>2024</x:v>
      </x:c>
      <x:c r="D213" s="34" t="n">
        <x:v>56.8</x:v>
      </x:c>
      <x:c r="E213" t="str">
        <x:v>% del PIB</x:v>
      </x:c>
      <x:c r="F213" t="n">
        <x:v>2024</x:v>
      </x:c>
      <x:c r="G213" t="str">
        <x:v>IMF Country Report No. 24/357</x:v>
      </x:c>
    </x:row>
    <x:row r="214">
      <x:c r="A214" t="str">
        <x:v>Dic-2024</x:v>
      </x:c>
      <x:c r="B214" t="str">
        <x:v>Deuda Pública (% PIB)</x:v>
      </x:c>
      <x:c r="C214" s="33" t="n">
        <x:v>2025</x:v>
      </x:c>
      <x:c r="D214" s="34" t="n">
        <x:v>56.8</x:v>
      </x:c>
      <x:c r="E214" t="str">
        <x:v>% del PIB</x:v>
      </x:c>
      <x:c r="F214" t="n">
        <x:v>2024</x:v>
      </x:c>
      <x:c r="G214" t="str">
        <x:v>IMF Country Report No. 24/357</x:v>
      </x:c>
    </x:row>
    <x:row r="215">
      <x:c r="A215" t="str">
        <x:v>Dic-2024</x:v>
      </x:c>
      <x:c r="B215" t="str">
        <x:v>Deuda Pública (% PIB)</x:v>
      </x:c>
      <x:c r="C215" s="33" t="n">
        <x:v>2026</x:v>
      </x:c>
      <x:c r="D215" s="34" t="n">
        <x:v>55.7</x:v>
      </x:c>
      <x:c r="E215" t="str">
        <x:v>% del PIB</x:v>
      </x:c>
      <x:c r="F215" t="n">
        <x:v>2024</x:v>
      </x:c>
      <x:c r="G215" t="str">
        <x:v>IMF Country Report No. 24/357</x:v>
      </x:c>
    </x:row>
    <x:row r="216">
      <x:c r="A216" t="str">
        <x:v>Dic-2024</x:v>
      </x:c>
      <x:c r="B216" t="str">
        <x:v>Deuda Pública (% PIB)</x:v>
      </x:c>
      <x:c r="C216" s="33" t="n">
        <x:v>2027</x:v>
      </x:c>
      <x:c r="D216" s="34" t="n">
        <x:v>54.4</x:v>
      </x:c>
      <x:c r="E216" t="str">
        <x:v>% del PIB</x:v>
      </x:c>
      <x:c r="F216" t="n">
        <x:v>2024</x:v>
      </x:c>
      <x:c r="G216" t="str">
        <x:v>IMF Country Report No. 24/357</x:v>
      </x:c>
    </x:row>
    <x:row r="217">
      <x:c r="A217" t="str">
        <x:v>Dic-2024</x:v>
      </x:c>
      <x:c r="B217" t="str">
        <x:v>Deuda Pública (% PIB)</x:v>
      </x:c>
      <x:c r="C217" s="33" t="n">
        <x:v>2028</x:v>
      </x:c>
      <x:c r="D217" s="34" t="n">
        <x:v>52.5</x:v>
      </x:c>
      <x:c r="E217" t="str">
        <x:v>% del PIB</x:v>
      </x:c>
      <x:c r="F217" t="n">
        <x:v>2024</x:v>
      </x:c>
      <x:c r="G217" t="str">
        <x:v>IMF Country Report No. 24/357</x:v>
      </x:c>
    </x:row>
    <x:row r="218">
      <x:c r="A218" t="str">
        <x:v>Dic-2024</x:v>
      </x:c>
      <x:c r="B218" t="str">
        <x:v>Deuda Pública (% PIB)</x:v>
      </x:c>
      <x:c r="C218" s="33" t="n">
        <x:v>2029</x:v>
      </x:c>
      <x:c r="D218" s="34" t="n">
        <x:v>50</x:v>
      </x:c>
      <x:c r="E218" t="str">
        <x:v>% del PIB</x:v>
      </x:c>
      <x:c r="F218" t="n">
        <x:v>2024</x:v>
      </x:c>
      <x:c r="G218" t="str">
        <x:v>IMF Country Report No. 24/357</x:v>
      </x:c>
    </x:row>
    <x:row r="219">
      <x:c r="A219" t="str">
        <x:v>Dic-2024</x:v>
      </x:c>
      <x:c r="B219" t="str">
        <x:v>Precio Petróleo Ecuador (USD/bbl)</x:v>
      </x:c>
      <x:c r="C219" s="33" t="n">
        <x:v>2024</x:v>
      </x:c>
      <x:c r="D219" s="34" t="n">
        <x:v>68.5</x:v>
      </x:c>
      <x:c r="E219" t="str">
        <x:v>USD/barril</x:v>
      </x:c>
      <x:c r="F219" t="n">
        <x:v>2024</x:v>
      </x:c>
      <x:c r="G219" t="str">
        <x:v>IMF Country Report No. 24/357</x:v>
      </x:c>
    </x:row>
    <x:row r="220">
      <x:c r="A220" t="str">
        <x:v>Dic-2024</x:v>
      </x:c>
      <x:c r="B220" t="str">
        <x:v>Precio Petróleo Ecuador (USD/bbl)</x:v>
      </x:c>
      <x:c r="C220" s="33" t="n">
        <x:v>2025</x:v>
      </x:c>
      <x:c r="D220" s="34" t="n">
        <x:v>63.2</x:v>
      </x:c>
      <x:c r="E220" t="str">
        <x:v>USD/barril</x:v>
      </x:c>
      <x:c r="F220" t="n">
        <x:v>2024</x:v>
      </x:c>
      <x:c r="G220" t="str">
        <x:v>IMF Country Report No. 24/357</x:v>
      </x:c>
    </x:row>
    <x:row r="221">
      <x:c r="A221" t="str">
        <x:v>Dic-2024</x:v>
      </x:c>
      <x:c r="B221" t="str">
        <x:v>Precio Petróleo Ecuador (USD/bbl)</x:v>
      </x:c>
      <x:c r="C221" s="33" t="n">
        <x:v>2026</x:v>
      </x:c>
      <x:c r="D221" s="34" t="n">
        <x:v>61.4</x:v>
      </x:c>
      <x:c r="E221" t="str">
        <x:v>USD/barril</x:v>
      </x:c>
      <x:c r="F221" t="n">
        <x:v>2024</x:v>
      </x:c>
      <x:c r="G221" t="str">
        <x:v>IMF Country Report No. 24/357</x:v>
      </x:c>
    </x:row>
    <x:row r="222">
      <x:c r="A222" t="str">
        <x:v>Dic-2024</x:v>
      </x:c>
      <x:c r="B222" t="str">
        <x:v>Precio Petróleo Ecuador (USD/bbl)</x:v>
      </x:c>
      <x:c r="C222" s="33" t="n">
        <x:v>2027</x:v>
      </x:c>
      <x:c r="D222" s="34" t="n">
        <x:v>59.6</x:v>
      </x:c>
      <x:c r="E222" t="str">
        <x:v>USD/barril</x:v>
      </x:c>
      <x:c r="F222" t="n">
        <x:v>2024</x:v>
      </x:c>
      <x:c r="G222" t="str">
        <x:v>IMF Country Report No. 24/357</x:v>
      </x:c>
    </x:row>
    <x:row r="223">
      <x:c r="A223" t="str">
        <x:v>Dic-2024</x:v>
      </x:c>
      <x:c r="B223" t="str">
        <x:v>Precio Petróleo Ecuador (USD/bbl)</x:v>
      </x:c>
      <x:c r="C223" s="33" t="n">
        <x:v>2028</x:v>
      </x:c>
      <x:c r="D223" s="34" t="n">
        <x:v>58.5</x:v>
      </x:c>
      <x:c r="E223" t="str">
        <x:v>USD/barril</x:v>
      </x:c>
      <x:c r="F223" t="n">
        <x:v>2024</x:v>
      </x:c>
      <x:c r="G223" t="str">
        <x:v>IMF Country Report No. 24/357</x:v>
      </x:c>
    </x:row>
    <x:row r="224">
      <x:c r="A224" t="str">
        <x:v>Dic-2024</x:v>
      </x:c>
      <x:c r="B224" t="str">
        <x:v>Precio Petróleo Ecuador (USD/bbl)</x:v>
      </x:c>
      <x:c r="C224" s="33" t="n">
        <x:v>2029</x:v>
      </x:c>
      <x:c r="D224" s="34" t="n">
        <x:v>57.9</x:v>
      </x:c>
      <x:c r="E224" t="str">
        <x:v>USD/barril</x:v>
      </x:c>
      <x:c r="F224" t="n">
        <x:v>2024</x:v>
      </x:c>
      <x:c r="G224" t="str">
        <x:v>IMF Country Report No. 24/357</x:v>
      </x:c>
    </x:row>
    <x:row r="225">
      <x:c r="A225" t="str">
        <x:v>Dic-2024</x:v>
      </x:c>
      <x:c r="B225" t="str">
        <x:v>PIB Nominal (USD mn)</x:v>
      </x:c>
      <x:c r="C225" s="33" t="n">
        <x:v>2024</x:v>
      </x:c>
      <x:c r="D225" s="34" t="n">
        <x:v>120433</x:v>
      </x:c>
      <x:c r="E225" t="str">
        <x:v>USD millones</x:v>
      </x:c>
      <x:c r="F225" t="n">
        <x:v>2024</x:v>
      </x:c>
      <x:c r="G225" t="str">
        <x:v>IMF Country Report No. 24/357</x:v>
      </x:c>
    </x:row>
    <x:row r="226">
      <x:c r="A226" t="str">
        <x:v>Dic-2024</x:v>
      </x:c>
      <x:c r="B226" t="str">
        <x:v>PIB Nominal (USD mn)</x:v>
      </x:c>
      <x:c r="C226" s="33" t="n">
        <x:v>2025</x:v>
      </x:c>
      <x:c r="D226" s="34" t="n">
        <x:v>125038</x:v>
      </x:c>
      <x:c r="E226" t="str">
        <x:v>USD millones</x:v>
      </x:c>
      <x:c r="F226" t="n">
        <x:v>2024</x:v>
      </x:c>
      <x:c r="G226" t="str">
        <x:v>IMF Country Report No. 24/357</x:v>
      </x:c>
    </x:row>
    <x:row r="227">
      <x:c r="A227" t="str">
        <x:v>Dic-2024</x:v>
      </x:c>
      <x:c r="B227" t="str">
        <x:v>PIB Nominal (USD mn)</x:v>
      </x:c>
      <x:c r="C227" s="33" t="n">
        <x:v>2026</x:v>
      </x:c>
      <x:c r="D227" s="34" t="n">
        <x:v>129175</x:v>
      </x:c>
      <x:c r="E227" t="str">
        <x:v>USD millones</x:v>
      </x:c>
      <x:c r="F227" t="n">
        <x:v>2024</x:v>
      </x:c>
      <x:c r="G227" t="str">
        <x:v>IMF Country Report No. 24/357</x:v>
      </x:c>
    </x:row>
    <x:row r="228">
      <x:c r="A228" t="str">
        <x:v>Dic-2024</x:v>
      </x:c>
      <x:c r="B228" t="str">
        <x:v>PIB Nominal (USD mn)</x:v>
      </x:c>
      <x:c r="C228" s="33" t="n">
        <x:v>2027</x:v>
      </x:c>
      <x:c r="D228" s="34" t="n">
        <x:v>134226</x:v>
      </x:c>
      <x:c r="E228" t="str">
        <x:v>USD millones</x:v>
      </x:c>
      <x:c r="F228" t="n">
        <x:v>2024</x:v>
      </x:c>
      <x:c r="G228" t="str">
        <x:v>IMF Country Report No. 24/357</x:v>
      </x:c>
    </x:row>
    <x:row r="229">
      <x:c r="A229" t="str">
        <x:v>Dic-2024</x:v>
      </x:c>
      <x:c r="B229" t="str">
        <x:v>PIB Nominal (USD mn)</x:v>
      </x:c>
      <x:c r="C229" s="33" t="n">
        <x:v>2028</x:v>
      </x:c>
      <x:c r="D229" s="34" t="n">
        <x:v>139645</x:v>
      </x:c>
      <x:c r="E229" t="str">
        <x:v>USD millones</x:v>
      </x:c>
      <x:c r="F229" t="n">
        <x:v>2024</x:v>
      </x:c>
      <x:c r="G229" t="str">
        <x:v>IMF Country Report No. 24/357</x:v>
      </x:c>
    </x:row>
    <x:row r="230">
      <x:c r="A230" t="str">
        <x:v>Dic-2024</x:v>
      </x:c>
      <x:c r="B230" t="str">
        <x:v>PIB Nominal (USD mn)</x:v>
      </x:c>
      <x:c r="C230" s="33" t="n">
        <x:v>2029</x:v>
      </x:c>
      <x:c r="D230" s="34" t="n">
        <x:v>145328</x:v>
      </x:c>
      <x:c r="E230" t="str">
        <x:v>USD millones</x:v>
      </x:c>
      <x:c r="F230" t="n">
        <x:v>2024</x:v>
      </x:c>
      <x:c r="G230" t="str">
        <x:v>IMF Country Report No. 24/357</x:v>
      </x:c>
    </x:row>
    <x:row r="231">
      <x:c r="A231" t="str">
        <x:v>Dic-2024</x:v>
      </x:c>
      <x:c r="B231" t="str">
        <x:v>Reservas Internacionales (USD mn)</x:v>
      </x:c>
      <x:c r="C231" s="33" t="n">
        <x:v>2024</x:v>
      </x:c>
      <x:c r="D231" s="34" t="n">
        <x:v>7648</x:v>
      </x:c>
      <x:c r="E231" t="str">
        <x:v>USD millones</x:v>
      </x:c>
      <x:c r="F231" t="n">
        <x:v>2024</x:v>
      </x:c>
      <x:c r="G231" t="str">
        <x:v>IMF Country Report No. 24/357</x:v>
      </x:c>
    </x:row>
    <x:row r="232">
      <x:c r="A232" t="str">
        <x:v>Dic-2024</x:v>
      </x:c>
      <x:c r="B232" t="str">
        <x:v>Reservas Internacionales (USD mn)</x:v>
      </x:c>
      <x:c r="C232" s="33" t="n">
        <x:v>2025</x:v>
      </x:c>
      <x:c r="D232" s="34" t="n">
        <x:v>10544</x:v>
      </x:c>
      <x:c r="E232" t="str">
        <x:v>USD millones</x:v>
      </x:c>
      <x:c r="F232" t="n">
        <x:v>2024</x:v>
      </x:c>
      <x:c r="G232" t="str">
        <x:v>IMF Country Report No. 24/357</x:v>
      </x:c>
    </x:row>
    <x:row r="233">
      <x:c r="A233" t="str">
        <x:v>Dic-2024</x:v>
      </x:c>
      <x:c r="B233" t="str">
        <x:v>Reservas Internacionales (USD mn)</x:v>
      </x:c>
      <x:c r="C233" s="33" t="n">
        <x:v>2026</x:v>
      </x:c>
      <x:c r="D233" s="34" t="n">
        <x:v>12676</x:v>
      </x:c>
      <x:c r="E233" t="str">
        <x:v>USD millones</x:v>
      </x:c>
      <x:c r="F233" t="n">
        <x:v>2024</x:v>
      </x:c>
      <x:c r="G233" t="str">
        <x:v>IMF Country Report No. 24/357</x:v>
      </x:c>
    </x:row>
    <x:row r="234">
      <x:c r="A234" t="str">
        <x:v>Dic-2024</x:v>
      </x:c>
      <x:c r="B234" t="str">
        <x:v>Reservas Internacionales (USD mn)</x:v>
      </x:c>
      <x:c r="C234" s="33" t="n">
        <x:v>2027</x:v>
      </x:c>
      <x:c r="D234" s="34" t="n">
        <x:v>14679</x:v>
      </x:c>
      <x:c r="E234" t="str">
        <x:v>USD millones</x:v>
      </x:c>
      <x:c r="F234" t="n">
        <x:v>2024</x:v>
      </x:c>
      <x:c r="G234" t="str">
        <x:v>IMF Country Report No. 24/357</x:v>
      </x:c>
    </x:row>
    <x:row r="235">
      <x:c r="A235" t="str">
        <x:v>Dic-2024</x:v>
      </x:c>
      <x:c r="B235" t="str">
        <x:v>Reservas Internacionales (USD mn)</x:v>
      </x:c>
      <x:c r="C235" s="33" t="n">
        <x:v>2028</x:v>
      </x:c>
      <x:c r="D235" s="34" t="n">
        <x:v>16678</x:v>
      </x:c>
      <x:c r="E235" t="str">
        <x:v>USD millones</x:v>
      </x:c>
      <x:c r="F235" t="n">
        <x:v>2024</x:v>
      </x:c>
      <x:c r="G235" t="str">
        <x:v>IMF Country Report No. 24/357</x:v>
      </x:c>
    </x:row>
    <x:row r="236">
      <x:c r="A236" t="str">
        <x:v>Dic-2024</x:v>
      </x:c>
      <x:c r="B236" t="str">
        <x:v>Reservas Internacionales (USD mn)</x:v>
      </x:c>
      <x:c r="C236" s="33" t="n">
        <x:v>2029</x:v>
      </x:c>
      <x:c r="D236" s="34" t="n">
        <x:v>18740</x:v>
      </x:c>
      <x:c r="E236" t="str">
        <x:v>USD millones</x:v>
      </x:c>
      <x:c r="F236" t="n">
        <x:v>2024</x:v>
      </x:c>
      <x:c r="G236" t="str">
        <x:v>IMF Country Report No. 24/357</x:v>
      </x:c>
    </x:row>
    <x:row r="237">
      <x:c r="A237" t="str">
        <x:v>Dic-2025</x:v>
      </x:c>
      <x:c r="B237" t="str">
        <x:v>Real GDP (%)</x:v>
      </x:c>
      <x:c r="C237" s="33" t="n">
        <x:v>2025</x:v>
      </x:c>
      <x:c r="D237" s="34" t="n">
        <x:v>3.4</x:v>
      </x:c>
      <x:c r="E237" t="str">
        <x:v>%</x:v>
      </x:c>
      <x:c r="F237" t="n">
        <x:v>2025</x:v>
      </x:c>
      <x:c r="G237" t="str">
        <x:v>IMF Country Report No. 25/341</x:v>
      </x:c>
    </x:row>
    <x:row r="238">
      <x:c r="A238" t="str">
        <x:v>Dic-2025</x:v>
      </x:c>
      <x:c r="B238" t="str">
        <x:v>Real GDP (%)</x:v>
      </x:c>
      <x:c r="C238" s="33" t="n">
        <x:v>2026</x:v>
      </x:c>
      <x:c r="D238" s="34" t="n">
        <x:v>2.2</x:v>
      </x:c>
      <x:c r="E238" t="str">
        <x:v>%</x:v>
      </x:c>
      <x:c r="F238" t="n">
        <x:v>2025</x:v>
      </x:c>
      <x:c r="G238" t="str">
        <x:v>IMF Country Report No. 25/341</x:v>
      </x:c>
    </x:row>
    <x:row r="239">
      <x:c r="A239" t="str">
        <x:v>Dic-2025</x:v>
      </x:c>
      <x:c r="B239" t="str">
        <x:v>Real GDP (%)</x:v>
      </x:c>
      <x:c r="C239" s="33" t="n">
        <x:v>2027</x:v>
      </x:c>
      <x:c r="D239" s="34" t="n">
        <x:v>2.4</x:v>
      </x:c>
      <x:c r="E239" t="str">
        <x:v>%</x:v>
      </x:c>
      <x:c r="F239" t="n">
        <x:v>2025</x:v>
      </x:c>
      <x:c r="G239" t="str">
        <x:v>IMF Country Report No. 25/341</x:v>
      </x:c>
    </x:row>
    <x:row r="240">
      <x:c r="A240" t="str">
        <x:v>Dic-2025</x:v>
      </x:c>
      <x:c r="B240" t="str">
        <x:v>Real GDP (%)</x:v>
      </x:c>
      <x:c r="C240" s="33" t="n">
        <x:v>2028</x:v>
      </x:c>
      <x:c r="D240" s="34" t="n">
        <x:v>2.6</x:v>
      </x:c>
      <x:c r="E240" t="str">
        <x:v>%</x:v>
      </x:c>
      <x:c r="F240" t="n">
        <x:v>2025</x:v>
      </x:c>
      <x:c r="G240" t="str">
        <x:v>IMF Country Report No. 25/341</x:v>
      </x:c>
    </x:row>
    <x:row r="241">
      <x:c r="A241" t="str">
        <x:v>Dic-2025</x:v>
      </x:c>
      <x:c r="B241" t="str">
        <x:v>Real GDP (%)</x:v>
      </x:c>
      <x:c r="C241" s="33" t="n">
        <x:v>2029</x:v>
      </x:c>
      <x:c r="D241" s="34" t="n">
        <x:v>2.8</x:v>
      </x:c>
      <x:c r="E241" t="str">
        <x:v>%</x:v>
      </x:c>
      <x:c r="F241" t="n">
        <x:v>2025</x:v>
      </x:c>
      <x:c r="G241" t="str">
        <x:v>IMF Country Report No. 25/341</x:v>
      </x:c>
    </x:row>
    <x:row r="242">
      <x:c r="A242" t="str">
        <x:v>Dic-2025</x:v>
      </x:c>
      <x:c r="B242" t="str">
        <x:v>Real GDP (%)</x:v>
      </x:c>
      <x:c r="C242" s="33" t="n">
        <x:v>2030</x:v>
      </x:c>
      <x:c r="D242" s="34" t="n">
        <x:v>3</x:v>
      </x:c>
      <x:c r="E242" t="str">
        <x:v>%</x:v>
      </x:c>
      <x:c r="F242" t="n">
        <x:v>2025</x:v>
      </x:c>
      <x:c r="G242" t="str">
        <x:v>IMF Country Report No. 25/341</x:v>
      </x:c>
    </x:row>
    <x:row r="243">
      <x:c r="A243" t="str">
        <x:v>Dic-2025</x:v>
      </x:c>
      <x:c r="B243" t="str">
        <x:v>Inflación promedio (%)</x:v>
      </x:c>
      <x:c r="C243" s="33" t="n">
        <x:v>2025</x:v>
      </x:c>
      <x:c r="D243" s="34" t="n">
        <x:v>0.9</x:v>
      </x:c>
      <x:c r="E243" t="str">
        <x:v>%</x:v>
      </x:c>
      <x:c r="F243" t="n">
        <x:v>2025</x:v>
      </x:c>
      <x:c r="G243" t="str">
        <x:v>IMF Country Report No. 25/341</x:v>
      </x:c>
    </x:row>
    <x:row r="244">
      <x:c r="A244" t="str">
        <x:v>Dic-2025</x:v>
      </x:c>
      <x:c r="B244" t="str">
        <x:v>Inflación promedio (%)</x:v>
      </x:c>
      <x:c r="C244" s="33" t="n">
        <x:v>2026</x:v>
      </x:c>
      <x:c r="D244" s="34" t="n">
        <x:v>2.8</x:v>
      </x:c>
      <x:c r="E244" t="str">
        <x:v>%</x:v>
      </x:c>
      <x:c r="F244" t="n">
        <x:v>2025</x:v>
      </x:c>
      <x:c r="G244" t="str">
        <x:v>IMF Country Report No. 25/341</x:v>
      </x:c>
    </x:row>
    <x:row r="245">
      <x:c r="A245" t="str">
        <x:v>Dic-2025</x:v>
      </x:c>
      <x:c r="B245" t="str">
        <x:v>Inflación promedio (%)</x:v>
      </x:c>
      <x:c r="C245" s="33" t="n">
        <x:v>2027</x:v>
      </x:c>
      <x:c r="D245" s="34" t="n">
        <x:v>1.5</x:v>
      </x:c>
      <x:c r="E245" t="str">
        <x:v>%</x:v>
      </x:c>
      <x:c r="F245" t="n">
        <x:v>2025</x:v>
      </x:c>
      <x:c r="G245" t="str">
        <x:v>IMF Country Report No. 25/341</x:v>
      </x:c>
    </x:row>
    <x:row r="246">
      <x:c r="A246" t="str">
        <x:v>Dic-2025</x:v>
      </x:c>
      <x:c r="B246" t="str">
        <x:v>Inflación promedio (%)</x:v>
      </x:c>
      <x:c r="C246" s="33" t="n">
        <x:v>2028</x:v>
      </x:c>
      <x:c r="D246" s="34" t="n">
        <x:v>1.5</x:v>
      </x:c>
      <x:c r="E246" t="str">
        <x:v>%</x:v>
      </x:c>
      <x:c r="F246" t="n">
        <x:v>2025</x:v>
      </x:c>
      <x:c r="G246" t="str">
        <x:v>IMF Country Report No. 25/341</x:v>
      </x:c>
    </x:row>
    <x:row r="247">
      <x:c r="A247" t="str">
        <x:v>Dic-2025</x:v>
      </x:c>
      <x:c r="B247" t="str">
        <x:v>Inflación promedio (%)</x:v>
      </x:c>
      <x:c r="C247" s="33" t="n">
        <x:v>2029</x:v>
      </x:c>
      <x:c r="D247" s="34" t="n">
        <x:v>1.5</x:v>
      </x:c>
      <x:c r="E247" t="str">
        <x:v>%</x:v>
      </x:c>
      <x:c r="F247" t="n">
        <x:v>2025</x:v>
      </x:c>
      <x:c r="G247" t="str">
        <x:v>IMF Country Report No. 25/341</x:v>
      </x:c>
    </x:row>
    <x:row r="248">
      <x:c r="A248" t="str">
        <x:v>Dic-2025</x:v>
      </x:c>
      <x:c r="B248" t="str">
        <x:v>Inflación promedio (%)</x:v>
      </x:c>
      <x:c r="C248" s="33" t="n">
        <x:v>2030</x:v>
      </x:c>
      <x:c r="D248" s="34" t="n">
        <x:v>1.5</x:v>
      </x:c>
      <x:c r="E248" t="str">
        <x:v>%</x:v>
      </x:c>
      <x:c r="F248" t="n">
        <x:v>2025</x:v>
      </x:c>
      <x:c r="G248" t="str">
        <x:v>IMF Country Report No. 25/341</x:v>
      </x:c>
    </x:row>
    <x:row r="249">
      <x:c r="A249" t="str">
        <x:v>Dic-2025</x:v>
      </x:c>
      <x:c r="B249" t="str">
        <x:v>Cuenta Corriente (% PIB)</x:v>
      </x:c>
      <x:c r="C249" s="33" t="n">
        <x:v>2025</x:v>
      </x:c>
      <x:c r="D249" s="34" t="n">
        <x:v>5.1</x:v>
      </x:c>
      <x:c r="E249" t="str">
        <x:v>% del PIB</x:v>
      </x:c>
      <x:c r="F249" t="n">
        <x:v>2025</x:v>
      </x:c>
      <x:c r="G249" t="str">
        <x:v>IMF Country Report No. 25/341</x:v>
      </x:c>
    </x:row>
    <x:row r="250">
      <x:c r="A250" t="str">
        <x:v>Dic-2025</x:v>
      </x:c>
      <x:c r="B250" t="str">
        <x:v>Cuenta Corriente (% PIB)</x:v>
      </x:c>
      <x:c r="C250" s="33" t="n">
        <x:v>2026</x:v>
      </x:c>
      <x:c r="D250" s="34" t="n">
        <x:v>4.1</x:v>
      </x:c>
      <x:c r="E250" t="str">
        <x:v>% del PIB</x:v>
      </x:c>
      <x:c r="F250" t="n">
        <x:v>2025</x:v>
      </x:c>
      <x:c r="G250" t="str">
        <x:v>IMF Country Report No. 25/341</x:v>
      </x:c>
    </x:row>
    <x:row r="251">
      <x:c r="A251" t="str">
        <x:v>Dic-2025</x:v>
      </x:c>
      <x:c r="B251" t="str">
        <x:v>Cuenta Corriente (% PIB)</x:v>
      </x:c>
      <x:c r="C251" s="33" t="n">
        <x:v>2027</x:v>
      </x:c>
      <x:c r="D251" s="34" t="n">
        <x:v>3.4</x:v>
      </x:c>
      <x:c r="E251" t="str">
        <x:v>% del PIB</x:v>
      </x:c>
      <x:c r="F251" t="n">
        <x:v>2025</x:v>
      </x:c>
      <x:c r="G251" t="str">
        <x:v>IMF Country Report No. 25/341</x:v>
      </x:c>
    </x:row>
    <x:row r="252">
      <x:c r="A252" t="str">
        <x:v>Dic-2025</x:v>
      </x:c>
      <x:c r="B252" t="str">
        <x:v>Cuenta Corriente (% PIB)</x:v>
      </x:c>
      <x:c r="C252" s="33" t="n">
        <x:v>2028</x:v>
      </x:c>
      <x:c r="D252" s="34" t="n">
        <x:v>3.1</x:v>
      </x:c>
      <x:c r="E252" t="str">
        <x:v>% del PIB</x:v>
      </x:c>
      <x:c r="F252" t="n">
        <x:v>2025</x:v>
      </x:c>
      <x:c r="G252" t="str">
        <x:v>IMF Country Report No. 25/341</x:v>
      </x:c>
    </x:row>
    <x:row r="253">
      <x:c r="A253" t="str">
        <x:v>Dic-2025</x:v>
      </x:c>
      <x:c r="B253" t="str">
        <x:v>Cuenta Corriente (% PIB)</x:v>
      </x:c>
      <x:c r="C253" s="33" t="n">
        <x:v>2029</x:v>
      </x:c>
      <x:c r="D253" s="34" t="n">
        <x:v>2.8</x:v>
      </x:c>
      <x:c r="E253" t="str">
        <x:v>% del PIB</x:v>
      </x:c>
      <x:c r="F253" t="n">
        <x:v>2025</x:v>
      </x:c>
      <x:c r="G253" t="str">
        <x:v>IMF Country Report No. 25/341</x:v>
      </x:c>
    </x:row>
    <x:row r="254">
      <x:c r="A254" t="str">
        <x:v>Dic-2025</x:v>
      </x:c>
      <x:c r="B254" t="str">
        <x:v>Cuenta Corriente (% PIB)</x:v>
      </x:c>
      <x:c r="C254" s="33" t="n">
        <x:v>2030</x:v>
      </x:c>
      <x:c r="D254" s="34" t="n">
        <x:v>2.8</x:v>
      </x:c>
      <x:c r="E254" t="str">
        <x:v>% del PIB</x:v>
      </x:c>
      <x:c r="F254" t="n">
        <x:v>2025</x:v>
      </x:c>
      <x:c r="G254" t="str">
        <x:v>IMF Country Report No. 25/341</x:v>
      </x:c>
    </x:row>
    <x:row r="255">
      <x:c r="A255" t="str">
        <x:v>Dic-2025</x:v>
      </x:c>
      <x:c r="B255" t="str">
        <x:v>Balance Fiscal NFPS (% PIB)</x:v>
      </x:c>
      <x:c r="C255" s="33" t="n">
        <x:v>2025</x:v>
      </x:c>
      <x:c r="D255" s="34" t="n">
        <x:v>-1.2</x:v>
      </x:c>
      <x:c r="E255" t="str">
        <x:v>% del PIB</x:v>
      </x:c>
      <x:c r="F255" t="n">
        <x:v>2025</x:v>
      </x:c>
      <x:c r="G255" t="str">
        <x:v>IMF Country Report No. 25/341</x:v>
      </x:c>
    </x:row>
    <x:row r="256">
      <x:c r="A256" t="str">
        <x:v>Dic-2025</x:v>
      </x:c>
      <x:c r="B256" t="str">
        <x:v>Balance Fiscal NFPS (% PIB)</x:v>
      </x:c>
      <x:c r="C256" s="33" t="n">
        <x:v>2026</x:v>
      </x:c>
      <x:c r="D256" s="34" t="n">
        <x:v>0</x:v>
      </x:c>
      <x:c r="E256" t="str">
        <x:v>% del PIB</x:v>
      </x:c>
      <x:c r="F256" t="n">
        <x:v>2025</x:v>
      </x:c>
      <x:c r="G256" t="str">
        <x:v>IMF Country Report No. 25/341</x:v>
      </x:c>
    </x:row>
    <x:row r="257">
      <x:c r="A257" t="str">
        <x:v>Dic-2025</x:v>
      </x:c>
      <x:c r="B257" t="str">
        <x:v>Balance Fiscal NFPS (% PIB)</x:v>
      </x:c>
      <x:c r="C257" s="33" t="n">
        <x:v>2027</x:v>
      </x:c>
      <x:c r="D257" s="34" t="n">
        <x:v>0.8</x:v>
      </x:c>
      <x:c r="E257" t="str">
        <x:v>% del PIB</x:v>
      </x:c>
      <x:c r="F257" t="n">
        <x:v>2025</x:v>
      </x:c>
      <x:c r="G257" t="str">
        <x:v>IMF Country Report No. 25/341</x:v>
      </x:c>
    </x:row>
    <x:row r="258">
      <x:c r="A258" t="str">
        <x:v>Dic-2025</x:v>
      </x:c>
      <x:c r="B258" t="str">
        <x:v>Balance Fiscal NFPS (% PIB)</x:v>
      </x:c>
      <x:c r="C258" s="33" t="n">
        <x:v>2028</x:v>
      </x:c>
      <x:c r="D258" s="34" t="n">
        <x:v>1.3</x:v>
      </x:c>
      <x:c r="E258" t="str">
        <x:v>% del PIB</x:v>
      </x:c>
      <x:c r="F258" t="n">
        <x:v>2025</x:v>
      </x:c>
      <x:c r="G258" t="str">
        <x:v>IMF Country Report No. 25/341</x:v>
      </x:c>
    </x:row>
    <x:row r="259">
      <x:c r="A259" t="str">
        <x:v>Dic-2025</x:v>
      </x:c>
      <x:c r="B259" t="str">
        <x:v>Balance Fiscal NFPS (% PIB)</x:v>
      </x:c>
      <x:c r="C259" s="33" t="n">
        <x:v>2029</x:v>
      </x:c>
      <x:c r="D259" s="34" t="n">
        <x:v>1.3</x:v>
      </x:c>
      <x:c r="E259" t="str">
        <x:v>% del PIB</x:v>
      </x:c>
      <x:c r="F259" t="n">
        <x:v>2025</x:v>
      </x:c>
      <x:c r="G259" t="str">
        <x:v>IMF Country Report No. 25/341</x:v>
      </x:c>
    </x:row>
    <x:row r="260">
      <x:c r="A260" t="str">
        <x:v>Dic-2025</x:v>
      </x:c>
      <x:c r="B260" t="str">
        <x:v>Balance Fiscal NFPS (% PIB)</x:v>
      </x:c>
      <x:c r="C260" s="33" t="n">
        <x:v>2030</x:v>
      </x:c>
      <x:c r="D260" s="34" t="n">
        <x:v>1.3</x:v>
      </x:c>
      <x:c r="E260" t="str">
        <x:v>% del PIB</x:v>
      </x:c>
      <x:c r="F260" t="n">
        <x:v>2025</x:v>
      </x:c>
      <x:c r="G260" t="str">
        <x:v>IMF Country Report No. 25/341</x:v>
      </x:c>
    </x:row>
    <x:row r="261">
      <x:c r="A261" t="str">
        <x:v>Dic-2025</x:v>
      </x:c>
      <x:c r="B261" t="str">
        <x:v>Deuda Pública (% PIB)</x:v>
      </x:c>
      <x:c r="C261" s="33" t="n">
        <x:v>2025</x:v>
      </x:c>
      <x:c r="D261" s="34" t="n">
        <x:v>53.2</x:v>
      </x:c>
      <x:c r="E261" t="str">
        <x:v>% del PIB</x:v>
      </x:c>
      <x:c r="F261" t="n">
        <x:v>2025</x:v>
      </x:c>
      <x:c r="G261" t="str">
        <x:v>IMF Country Report No. 25/341</x:v>
      </x:c>
    </x:row>
    <x:row r="262">
      <x:c r="A262" t="str">
        <x:v>Dic-2025</x:v>
      </x:c>
      <x:c r="B262" t="str">
        <x:v>Deuda Pública (% PIB)</x:v>
      </x:c>
      <x:c r="C262" s="33" t="n">
        <x:v>2026</x:v>
      </x:c>
      <x:c r="D262" s="34" t="n">
        <x:v>51.4</x:v>
      </x:c>
      <x:c r="E262" t="str">
        <x:v>% del PIB</x:v>
      </x:c>
      <x:c r="F262" t="n">
        <x:v>2025</x:v>
      </x:c>
      <x:c r="G262" t="str">
        <x:v>IMF Country Report No. 25/341</x:v>
      </x:c>
    </x:row>
    <x:row r="263">
      <x:c r="A263" t="str">
        <x:v>Dic-2025</x:v>
      </x:c>
      <x:c r="B263" t="str">
        <x:v>Deuda Pública (% PIB)</x:v>
      </x:c>
      <x:c r="C263" s="33" t="n">
        <x:v>2027</x:v>
      </x:c>
      <x:c r="D263" s="34" t="n">
        <x:v>49.6</x:v>
      </x:c>
      <x:c r="E263" t="str">
        <x:v>% del PIB</x:v>
      </x:c>
      <x:c r="F263" t="n">
        <x:v>2025</x:v>
      </x:c>
      <x:c r="G263" t="str">
        <x:v>IMF Country Report No. 25/341</x:v>
      </x:c>
    </x:row>
    <x:row r="264">
      <x:c r="A264" t="str">
        <x:v>Dic-2025</x:v>
      </x:c>
      <x:c r="B264" t="str">
        <x:v>Deuda Pública (% PIB)</x:v>
      </x:c>
      <x:c r="C264" s="33" t="n">
        <x:v>2028</x:v>
      </x:c>
      <x:c r="D264" s="34" t="n">
        <x:v>47.7</x:v>
      </x:c>
      <x:c r="E264" t="str">
        <x:v>% del PIB</x:v>
      </x:c>
      <x:c r="F264" t="n">
        <x:v>2025</x:v>
      </x:c>
      <x:c r="G264" t="str">
        <x:v>IMF Country Report No. 25/341</x:v>
      </x:c>
    </x:row>
    <x:row r="265">
      <x:c r="A265" t="str">
        <x:v>Dic-2025</x:v>
      </x:c>
      <x:c r="B265" t="str">
        <x:v>Deuda Pública (% PIB)</x:v>
      </x:c>
      <x:c r="C265" s="33" t="n">
        <x:v>2029</x:v>
      </x:c>
      <x:c r="D265" s="34" t="n">
        <x:v>45.2</x:v>
      </x:c>
      <x:c r="E265" t="str">
        <x:v>% del PIB</x:v>
      </x:c>
      <x:c r="F265" t="n">
        <x:v>2025</x:v>
      </x:c>
      <x:c r="G265" t="str">
        <x:v>IMF Country Report No. 25/341</x:v>
      </x:c>
    </x:row>
    <x:row r="266">
      <x:c r="A266" t="str">
        <x:v>Dic-2025</x:v>
      </x:c>
      <x:c r="B266" t="str">
        <x:v>Deuda Pública (% PIB)</x:v>
      </x:c>
      <x:c r="C266" s="33" t="n">
        <x:v>2030</x:v>
      </x:c>
      <x:c r="D266" s="34" t="n">
        <x:v>42.2</x:v>
      </x:c>
      <x:c r="E266" t="str">
        <x:v>% del PIB</x:v>
      </x:c>
      <x:c r="F266" t="n">
        <x:v>2025</x:v>
      </x:c>
      <x:c r="G266" t="str">
        <x:v>IMF Country Report No. 25/341</x:v>
      </x:c>
    </x:row>
    <x:row r="267">
      <x:c r="A267" t="str">
        <x:v>Dic-2025</x:v>
      </x:c>
      <x:c r="B267" t="str">
        <x:v>Precio Petróleo Ecuador (USD/bbl)</x:v>
      </x:c>
      <x:c r="C267" s="33" t="n">
        <x:v>2025</x:v>
      </x:c>
      <x:c r="D267" s="34" t="n">
        <x:v>58.9</x:v>
      </x:c>
      <x:c r="E267" t="str">
        <x:v>USD/barril</x:v>
      </x:c>
      <x:c r="F267" t="n">
        <x:v>2025</x:v>
      </x:c>
      <x:c r="G267" t="str">
        <x:v>IMF Country Report No. 25/341</x:v>
      </x:c>
    </x:row>
    <x:row r="268">
      <x:c r="A268" t="str">
        <x:v>Dic-2025</x:v>
      </x:c>
      <x:c r="B268" t="str">
        <x:v>Precio Petróleo Ecuador (USD/bbl)</x:v>
      </x:c>
      <x:c r="C268" s="33" t="n">
        <x:v>2026</x:v>
      </x:c>
      <x:c r="D268" s="34" t="n">
        <x:v>54.1</x:v>
      </x:c>
      <x:c r="E268" t="str">
        <x:v>USD/barril</x:v>
      </x:c>
      <x:c r="F268" t="n">
        <x:v>2025</x:v>
      </x:c>
      <x:c r="G268" t="str">
        <x:v>IMF Country Report No. 25/341</x:v>
      </x:c>
    </x:row>
    <x:row r="269">
      <x:c r="A269" t="str">
        <x:v>Dic-2025</x:v>
      </x:c>
      <x:c r="B269" t="str">
        <x:v>Precio Petróleo Ecuador (USD/bbl)</x:v>
      </x:c>
      <x:c r="C269" s="33" t="n">
        <x:v>2027</x:v>
      </x:c>
      <x:c r="D269" s="34" t="n">
        <x:v>54.1</x:v>
      </x:c>
      <x:c r="E269" t="str">
        <x:v>USD/barril</x:v>
      </x:c>
      <x:c r="F269" t="n">
        <x:v>2025</x:v>
      </x:c>
      <x:c r="G269" t="str">
        <x:v>IMF Country Report No. 25/341</x:v>
      </x:c>
    </x:row>
    <x:row r="270">
      <x:c r="A270" t="str">
        <x:v>Dic-2025</x:v>
      </x:c>
      <x:c r="B270" t="str">
        <x:v>Precio Petróleo Ecuador (USD/bbl)</x:v>
      </x:c>
      <x:c r="C270" s="33" t="n">
        <x:v>2028</x:v>
      </x:c>
      <x:c r="D270" s="34" t="n">
        <x:v>54.9</x:v>
      </x:c>
      <x:c r="E270" t="str">
        <x:v>USD/barril</x:v>
      </x:c>
      <x:c r="F270" t="n">
        <x:v>2025</x:v>
      </x:c>
      <x:c r="G270" t="str">
        <x:v>IMF Country Report No. 25/341</x:v>
      </x:c>
    </x:row>
    <x:row r="271">
      <x:c r="A271" t="str">
        <x:v>Dic-2025</x:v>
      </x:c>
      <x:c r="B271" t="str">
        <x:v>Precio Petróleo Ecuador (USD/bbl)</x:v>
      </x:c>
      <x:c r="C271" s="33" t="n">
        <x:v>2029</x:v>
      </x:c>
      <x:c r="D271" s="34" t="n">
        <x:v>55.7</x:v>
      </x:c>
      <x:c r="E271" t="str">
        <x:v>USD/barril</x:v>
      </x:c>
      <x:c r="F271" t="n">
        <x:v>2025</x:v>
      </x:c>
      <x:c r="G271" t="str">
        <x:v>IMF Country Report No. 25/341</x:v>
      </x:c>
    </x:row>
    <x:row r="272">
      <x:c r="A272" t="str">
        <x:v>Dic-2025</x:v>
      </x:c>
      <x:c r="B272" t="str">
        <x:v>Precio Petróleo Ecuador (USD/bbl)</x:v>
      </x:c>
      <x:c r="C272" s="33" t="n">
        <x:v>2030</x:v>
      </x:c>
      <x:c r="D272" s="34" t="n">
        <x:v>56.3</x:v>
      </x:c>
      <x:c r="E272" t="str">
        <x:v>USD/barril</x:v>
      </x:c>
      <x:c r="F272" t="n">
        <x:v>2025</x:v>
      </x:c>
      <x:c r="G272" t="str">
        <x:v>IMF Country Report No. 25/341</x:v>
      </x:c>
    </x:row>
    <x:row r="273">
      <x:c r="A273" t="str">
        <x:v>Dic-2025</x:v>
      </x:c>
      <x:c r="B273" t="str">
        <x:v>PIB Nominal (USD mn)</x:v>
      </x:c>
      <x:c r="C273" s="33" t="n">
        <x:v>2025</x:v>
      </x:c>
      <x:c r="D273" s="34" t="n">
        <x:v>130548</x:v>
      </x:c>
      <x:c r="E273" t="str">
        <x:v>USD millones</x:v>
      </x:c>
      <x:c r="F273" t="n">
        <x:v>2025</x:v>
      </x:c>
      <x:c r="G273" t="str">
        <x:v>IMF Country Report No. 25/341</x:v>
      </x:c>
    </x:row>
    <x:row r="274">
      <x:c r="A274" t="str">
        <x:v>Dic-2025</x:v>
      </x:c>
      <x:c r="B274" t="str">
        <x:v>PIB Nominal (USD mn)</x:v>
      </x:c>
      <x:c r="C274" s="33" t="n">
        <x:v>2026</x:v>
      </x:c>
      <x:c r="D274" s="34" t="n">
        <x:v>136083</x:v>
      </x:c>
      <x:c r="E274" t="str">
        <x:v>USD millones</x:v>
      </x:c>
      <x:c r="F274" t="n">
        <x:v>2025</x:v>
      </x:c>
      <x:c r="G274" t="str">
        <x:v>IMF Country Report No. 25/341</x:v>
      </x:c>
    </x:row>
    <x:row r="275">
      <x:c r="A275" t="str">
        <x:v>Dic-2025</x:v>
      </x:c>
      <x:c r="B275" t="str">
        <x:v>PIB Nominal (USD mn)</x:v>
      </x:c>
      <x:c r="C275" s="33" t="n">
        <x:v>2027</x:v>
      </x:c>
      <x:c r="D275" s="34" t="n">
        <x:v>141655</x:v>
      </x:c>
      <x:c r="E275" t="str">
        <x:v>USD millones</x:v>
      </x:c>
      <x:c r="F275" t="n">
        <x:v>2025</x:v>
      </x:c>
      <x:c r="G275" t="str">
        <x:v>IMF Country Report No. 25/341</x:v>
      </x:c>
    </x:row>
    <x:row r="276">
      <x:c r="A276" t="str">
        <x:v>Dic-2025</x:v>
      </x:c>
      <x:c r="B276" t="str">
        <x:v>PIB Nominal (USD mn)</x:v>
      </x:c>
      <x:c r="C276" s="33" t="n">
        <x:v>2028</x:v>
      </x:c>
      <x:c r="D276" s="34" t="n">
        <x:v>147553</x:v>
      </x:c>
      <x:c r="E276" t="str">
        <x:v>USD millones</x:v>
      </x:c>
      <x:c r="F276" t="n">
        <x:v>2025</x:v>
      </x:c>
      <x:c r="G276" t="str">
        <x:v>IMF Country Report No. 25/341</x:v>
      </x:c>
    </x:row>
    <x:row r="277">
      <x:c r="A277" t="str">
        <x:v>Dic-2025</x:v>
      </x:c>
      <x:c r="B277" t="str">
        <x:v>PIB Nominal (USD mn)</x:v>
      </x:c>
      <x:c r="C277" s="33" t="n">
        <x:v>2029</x:v>
      </x:c>
      <x:c r="D277" s="34" t="n">
        <x:v>153966</x:v>
      </x:c>
      <x:c r="E277" t="str">
        <x:v>USD millones</x:v>
      </x:c>
      <x:c r="F277" t="n">
        <x:v>2025</x:v>
      </x:c>
      <x:c r="G277" t="str">
        <x:v>IMF Country Report No. 25/341</x:v>
      </x:c>
    </x:row>
    <x:row r="278">
      <x:c r="A278" t="str">
        <x:v>Dic-2025</x:v>
      </x:c>
      <x:c r="B278" t="str">
        <x:v>PIB Nominal (USD mn)</x:v>
      </x:c>
      <x:c r="C278" s="33" t="n">
        <x:v>2030</x:v>
      </x:c>
      <x:c r="D278" s="34" t="n">
        <x:v>160999</x:v>
      </x:c>
      <x:c r="E278" t="str">
        <x:v>USD millones</x:v>
      </x:c>
      <x:c r="F278" t="n">
        <x:v>2025</x:v>
      </x:c>
      <x:c r="G278" t="str">
        <x:v>IMF Country Report No. 25/341</x:v>
      </x:c>
    </x:row>
    <x:row r="279">
      <x:c r="A279" t="str">
        <x:v>Dic-2025</x:v>
      </x:c>
      <x:c r="B279" t="str">
        <x:v>Reservas Internacionales (USD mn)</x:v>
      </x:c>
      <x:c r="C279" s="33" t="n">
        <x:v>2025</x:v>
      </x:c>
      <x:c r="D279" s="34" t="n">
        <x:v>10290</x:v>
      </x:c>
      <x:c r="E279" t="str">
        <x:v>USD millones</x:v>
      </x:c>
      <x:c r="F279" t="n">
        <x:v>2025</x:v>
      </x:c>
      <x:c r="G279" t="str">
        <x:v>IMF Country Report No. 25/341</x:v>
      </x:c>
    </x:row>
    <x:row r="280">
      <x:c r="A280" t="str">
        <x:v>Dic-2025</x:v>
      </x:c>
      <x:c r="B280" t="str">
        <x:v>Reservas Internacionales (USD mn)</x:v>
      </x:c>
      <x:c r="C280" s="33" t="n">
        <x:v>2026</x:v>
      </x:c>
      <x:c r="D280" s="34" t="n">
        <x:v>13220</x:v>
      </x:c>
      <x:c r="E280" t="str">
        <x:v>USD millones</x:v>
      </x:c>
      <x:c r="F280" t="n">
        <x:v>2025</x:v>
      </x:c>
      <x:c r="G280" t="str">
        <x:v>IMF Country Report No. 25/341</x:v>
      </x:c>
    </x:row>
    <x:row r="281">
      <x:c r="A281" t="str">
        <x:v>Dic-2025</x:v>
      </x:c>
      <x:c r="B281" t="str">
        <x:v>Reservas Internacionales (USD mn)</x:v>
      </x:c>
      <x:c r="C281" s="33" t="n">
        <x:v>2027</x:v>
      </x:c>
      <x:c r="D281" s="34" t="n">
        <x:v>16448</x:v>
      </x:c>
      <x:c r="E281" t="str">
        <x:v>USD millones</x:v>
      </x:c>
      <x:c r="F281" t="n">
        <x:v>2025</x:v>
      </x:c>
      <x:c r="G281" t="str">
        <x:v>IMF Country Report No. 25/341</x:v>
      </x:c>
    </x:row>
    <x:row r="282">
      <x:c r="A282" t="str">
        <x:v>Dic-2025</x:v>
      </x:c>
      <x:c r="B282" t="str">
        <x:v>Reservas Internacionales (USD mn)</x:v>
      </x:c>
      <x:c r="C282" s="33" t="n">
        <x:v>2028</x:v>
      </x:c>
      <x:c r="D282" s="34" t="n">
        <x:v>19552</x:v>
      </x:c>
      <x:c r="E282" t="str">
        <x:v>USD millones</x:v>
      </x:c>
      <x:c r="F282" t="n">
        <x:v>2025</x:v>
      </x:c>
      <x:c r="G282" t="str">
        <x:v>IMF Country Report No. 25/341</x:v>
      </x:c>
    </x:row>
    <x:row r="283">
      <x:c r="A283" t="str">
        <x:v>Dic-2025</x:v>
      </x:c>
      <x:c r="B283" t="str">
        <x:v>Reservas Internacionales (USD mn)</x:v>
      </x:c>
      <x:c r="C283" s="33" t="n">
        <x:v>2029</x:v>
      </x:c>
      <x:c r="D283" s="34" t="n">
        <x:v>23125</x:v>
      </x:c>
      <x:c r="E283" t="str">
        <x:v>USD millones</x:v>
      </x:c>
      <x:c r="F283" t="n">
        <x:v>2025</x:v>
      </x:c>
      <x:c r="G283" t="str">
        <x:v>IMF Country Report No. 25/341</x:v>
      </x:c>
    </x:row>
    <x:row r="284">
      <x:c r="A284" t="str">
        <x:v>Dic-2025</x:v>
      </x:c>
      <x:c r="B284" t="str">
        <x:v>Reservas Internacionales (USD mn)</x:v>
      </x:c>
      <x:c r="C284" s="33" t="n">
        <x:v>2030</x:v>
      </x:c>
      <x:c r="D284" s="34" t="n">
        <x:v>26094</x:v>
      </x:c>
      <x:c r="E284" t="str">
        <x:v>USD millones</x:v>
      </x:c>
      <x:c r="F284" t="n">
        <x:v>2025</x:v>
      </x:c>
      <x:c r="G284" t="str">
        <x:v>IMF Country Report No. 25/341</x:v>
      </x:c>
    </x:row>
    <x:row r="285">
      <x:c r="A285" t="str">
        <x:v>Abr-2026</x:v>
      </x:c>
      <x:c r="B285" t="str">
        <x:v>Real GDP (%)</x:v>
      </x:c>
      <x:c r="C285" s="33" t="n">
        <x:v>2026</x:v>
      </x:c>
      <x:c r="D285" s="34" t="n">
        <x:v>2.5</x:v>
      </x:c>
      <x:c r="E285" t="str">
        <x:v>%</x:v>
      </x:c>
      <x:c r="F285" t="n">
        <x:v>2026</x:v>
      </x:c>
      <x:c r="G285" t="str">
        <x:v>IMF Country Report No. 26/84</x:v>
      </x:c>
    </x:row>
    <x:row r="286">
      <x:c r="A286" t="str">
        <x:v>Abr-2026</x:v>
      </x:c>
      <x:c r="B286" t="str">
        <x:v>Real GDP (%)</x:v>
      </x:c>
      <x:c r="C286" s="33" t="n">
        <x:v>2027</x:v>
      </x:c>
      <x:c r="D286" s="34" t="n">
        <x:v>2.5</x:v>
      </x:c>
      <x:c r="E286" t="str">
        <x:v>%</x:v>
      </x:c>
      <x:c r="F286" t="n">
        <x:v>2026</x:v>
      </x:c>
      <x:c r="G286" t="str">
        <x:v>IMF Country Report No. 26/84</x:v>
      </x:c>
    </x:row>
    <x:row r="287">
      <x:c r="A287" t="str">
        <x:v>Abr-2026</x:v>
      </x:c>
      <x:c r="B287" t="str">
        <x:v>Real GDP (%)</x:v>
      </x:c>
      <x:c r="C287" s="33" t="n">
        <x:v>2028</x:v>
      </x:c>
      <x:c r="D287" s="34" t="n">
        <x:v>2.6</x:v>
      </x:c>
      <x:c r="E287" t="str">
        <x:v>%</x:v>
      </x:c>
      <x:c r="F287" t="n">
        <x:v>2026</x:v>
      </x:c>
      <x:c r="G287" t="str">
        <x:v>IMF Country Report No. 26/84</x:v>
      </x:c>
    </x:row>
    <x:row r="288">
      <x:c r="A288" t="str">
        <x:v>Abr-2026</x:v>
      </x:c>
      <x:c r="B288" t="str">
        <x:v>Real GDP (%)</x:v>
      </x:c>
      <x:c r="C288" s="33" t="n">
        <x:v>2029</x:v>
      </x:c>
      <x:c r="D288" s="34" t="n">
        <x:v>2.8</x:v>
      </x:c>
      <x:c r="E288" t="str">
        <x:v>%</x:v>
      </x:c>
      <x:c r="F288" t="n">
        <x:v>2026</x:v>
      </x:c>
      <x:c r="G288" t="str">
        <x:v>IMF Country Report No. 26/84</x:v>
      </x:c>
    </x:row>
    <x:row r="289">
      <x:c r="A289" t="str">
        <x:v>Abr-2026</x:v>
      </x:c>
      <x:c r="B289" t="str">
        <x:v>Real GDP (%)</x:v>
      </x:c>
      <x:c r="C289" s="33" t="n">
        <x:v>2030</x:v>
      </x:c>
      <x:c r="D289" s="34" t="n">
        <x:v>3</x:v>
      </x:c>
      <x:c r="E289" t="str">
        <x:v>%</x:v>
      </x:c>
      <x:c r="F289" t="n">
        <x:v>2026</x:v>
      </x:c>
      <x:c r="G289" t="str">
        <x:v>IMF Country Report No. 26/84</x:v>
      </x:c>
    </x:row>
    <x:row r="290">
      <x:c r="A290" t="str">
        <x:v>Abr-2026</x:v>
      </x:c>
      <x:c r="B290" t="str">
        <x:v>Real GDP (%)</x:v>
      </x:c>
      <x:c r="C290" s="33" t="n">
        <x:v>2031</x:v>
      </x:c>
      <x:c r="D290" s="34" t="n">
        <x:v>3</x:v>
      </x:c>
      <x:c r="E290" t="str">
        <x:v>%</x:v>
      </x:c>
      <x:c r="F290" t="n">
        <x:v>2026</x:v>
      </x:c>
      <x:c r="G290" t="str">
        <x:v>IMF Country Report No. 26/84</x:v>
      </x:c>
    </x:row>
    <x:row r="291">
      <x:c r="A291" t="str">
        <x:v>Abr-2026</x:v>
      </x:c>
      <x:c r="B291" t="str">
        <x:v>Inflación promedio (%)</x:v>
      </x:c>
      <x:c r="C291" s="33" t="n">
        <x:v>2026</x:v>
      </x:c>
      <x:c r="D291" s="34" t="n">
        <x:v>2.9</x:v>
      </x:c>
      <x:c r="E291" t="str">
        <x:v>%</x:v>
      </x:c>
      <x:c r="F291" t="n">
        <x:v>2026</x:v>
      </x:c>
      <x:c r="G291" t="str">
        <x:v>IMF Country Report No. 26/84</x:v>
      </x:c>
    </x:row>
    <x:row r="292">
      <x:c r="A292" t="str">
        <x:v>Abr-2026</x:v>
      </x:c>
      <x:c r="B292" t="str">
        <x:v>Inflación promedio (%)</x:v>
      </x:c>
      <x:c r="C292" s="33" t="n">
        <x:v>2027</x:v>
      </x:c>
      <x:c r="D292" s="34" t="n">
        <x:v>1.6</x:v>
      </x:c>
      <x:c r="E292" t="str">
        <x:v>%</x:v>
      </x:c>
      <x:c r="F292" t="n">
        <x:v>2026</x:v>
      </x:c>
      <x:c r="G292" t="str">
        <x:v>IMF Country Report No. 26/84</x:v>
      </x:c>
    </x:row>
    <x:row r="293">
      <x:c r="A293" t="str">
        <x:v>Abr-2026</x:v>
      </x:c>
      <x:c r="B293" t="str">
        <x:v>Inflación promedio (%)</x:v>
      </x:c>
      <x:c r="C293" s="33" t="n">
        <x:v>2028</x:v>
      </x:c>
      <x:c r="D293" s="34" t="n">
        <x:v>1.5</x:v>
      </x:c>
      <x:c r="E293" t="str">
        <x:v>%</x:v>
      </x:c>
      <x:c r="F293" t="n">
        <x:v>2026</x:v>
      </x:c>
      <x:c r="G293" t="str">
        <x:v>IMF Country Report No. 26/84</x:v>
      </x:c>
    </x:row>
    <x:row r="294">
      <x:c r="A294" t="str">
        <x:v>Abr-2026</x:v>
      </x:c>
      <x:c r="B294" t="str">
        <x:v>Inflación promedio (%)</x:v>
      </x:c>
      <x:c r="C294" s="33" t="n">
        <x:v>2029</x:v>
      </x:c>
      <x:c r="D294" s="34" t="n">
        <x:v>1.5</x:v>
      </x:c>
      <x:c r="E294" t="str">
        <x:v>%</x:v>
      </x:c>
      <x:c r="F294" t="n">
        <x:v>2026</x:v>
      </x:c>
      <x:c r="G294" t="str">
        <x:v>IMF Country Report No. 26/84</x:v>
      </x:c>
    </x:row>
    <x:row r="295">
      <x:c r="A295" t="str">
        <x:v>Abr-2026</x:v>
      </x:c>
      <x:c r="B295" t="str">
        <x:v>Inflación promedio (%)</x:v>
      </x:c>
      <x:c r="C295" s="33" t="n">
        <x:v>2030</x:v>
      </x:c>
      <x:c r="D295" s="34" t="n">
        <x:v>1.5</x:v>
      </x:c>
      <x:c r="E295" t="str">
        <x:v>%</x:v>
      </x:c>
      <x:c r="F295" t="n">
        <x:v>2026</x:v>
      </x:c>
      <x:c r="G295" t="str">
        <x:v>IMF Country Report No. 26/84</x:v>
      </x:c>
    </x:row>
    <x:row r="296">
      <x:c r="A296" t="str">
        <x:v>Abr-2026</x:v>
      </x:c>
      <x:c r="B296" t="str">
        <x:v>Inflación promedio (%)</x:v>
      </x:c>
      <x:c r="C296" s="33" t="n">
        <x:v>2031</x:v>
      </x:c>
      <x:c r="D296" s="34" t="n">
        <x:v>1.5</x:v>
      </x:c>
      <x:c r="E296" t="str">
        <x:v>%</x:v>
      </x:c>
      <x:c r="F296" t="n">
        <x:v>2026</x:v>
      </x:c>
      <x:c r="G296" t="str">
        <x:v>IMF Country Report No. 26/84</x:v>
      </x:c>
    </x:row>
    <x:row r="297">
      <x:c r="A297" t="str">
        <x:v>Abr-2026</x:v>
      </x:c>
      <x:c r="B297" t="str">
        <x:v>Cuenta Corriente (% PIB)</x:v>
      </x:c>
      <x:c r="C297" s="33" t="n">
        <x:v>2026</x:v>
      </x:c>
      <x:c r="D297" s="34" t="n">
        <x:v>5.2</x:v>
      </x:c>
      <x:c r="E297" t="str">
        <x:v>% del PIB</x:v>
      </x:c>
      <x:c r="F297" t="n">
        <x:v>2026</x:v>
      </x:c>
      <x:c r="G297" t="str">
        <x:v>IMF Country Report No. 26/84</x:v>
      </x:c>
    </x:row>
    <x:row r="298">
      <x:c r="A298" t="str">
        <x:v>Abr-2026</x:v>
      </x:c>
      <x:c r="B298" t="str">
        <x:v>Cuenta Corriente (% PIB)</x:v>
      </x:c>
      <x:c r="C298" s="33" t="n">
        <x:v>2027</x:v>
      </x:c>
      <x:c r="D298" s="34" t="n">
        <x:v>4.6</x:v>
      </x:c>
      <x:c r="E298" t="str">
        <x:v>% del PIB</x:v>
      </x:c>
      <x:c r="F298" t="n">
        <x:v>2026</x:v>
      </x:c>
      <x:c r="G298" t="str">
        <x:v>IMF Country Report No. 26/84</x:v>
      </x:c>
    </x:row>
    <x:row r="299">
      <x:c r="A299" t="str">
        <x:v>Abr-2026</x:v>
      </x:c>
      <x:c r="B299" t="str">
        <x:v>Cuenta Corriente (% PIB)</x:v>
      </x:c>
      <x:c r="C299" s="33" t="n">
        <x:v>2028</x:v>
      </x:c>
      <x:c r="D299" s="34" t="n">
        <x:v>4.4</x:v>
      </x:c>
      <x:c r="E299" t="str">
        <x:v>% del PIB</x:v>
      </x:c>
      <x:c r="F299" t="n">
        <x:v>2026</x:v>
      </x:c>
      <x:c r="G299" t="str">
        <x:v>IMF Country Report No. 26/84</x:v>
      </x:c>
    </x:row>
    <x:row r="300">
      <x:c r="A300" t="str">
        <x:v>Abr-2026</x:v>
      </x:c>
      <x:c r="B300" t="str">
        <x:v>Cuenta Corriente (% PIB)</x:v>
      </x:c>
      <x:c r="C300" s="33" t="n">
        <x:v>2029</x:v>
      </x:c>
      <x:c r="D300" s="34" t="n">
        <x:v>4</x:v>
      </x:c>
      <x:c r="E300" t="str">
        <x:v>% del PIB</x:v>
      </x:c>
      <x:c r="F300" t="n">
        <x:v>2026</x:v>
      </x:c>
      <x:c r="G300" t="str">
        <x:v>IMF Country Report No. 26/84</x:v>
      </x:c>
    </x:row>
    <x:row r="301">
      <x:c r="A301" t="str">
        <x:v>Abr-2026</x:v>
      </x:c>
      <x:c r="B301" t="str">
        <x:v>Cuenta Corriente (% PIB)</x:v>
      </x:c>
      <x:c r="C301" s="33" t="n">
        <x:v>2030</x:v>
      </x:c>
      <x:c r="D301" s="34" t="n">
        <x:v>3.6</x:v>
      </x:c>
      <x:c r="E301" t="str">
        <x:v>% del PIB</x:v>
      </x:c>
      <x:c r="F301" t="n">
        <x:v>2026</x:v>
      </x:c>
      <x:c r="G301" t="str">
        <x:v>IMF Country Report No. 26/84</x:v>
      </x:c>
    </x:row>
    <x:row r="302">
      <x:c r="A302" t="str">
        <x:v>Abr-2026</x:v>
      </x:c>
      <x:c r="B302" t="str">
        <x:v>Cuenta Corriente (% PIB)</x:v>
      </x:c>
      <x:c r="C302" s="33" t="n">
        <x:v>2031</x:v>
      </x:c>
      <x:c r="D302" s="34" t="n">
        <x:v>3.1</x:v>
      </x:c>
      <x:c r="E302" t="str">
        <x:v>% del PIB</x:v>
      </x:c>
      <x:c r="F302" t="n">
        <x:v>2026</x:v>
      </x:c>
      <x:c r="G302" t="str">
        <x:v>IMF Country Report No. 26/84</x:v>
      </x:c>
    </x:row>
    <x:row r="303">
      <x:c r="A303" t="str">
        <x:v>Abr-2026</x:v>
      </x:c>
      <x:c r="B303" t="str">
        <x:v>Balance Fiscal NFPS (% PIB)</x:v>
      </x:c>
      <x:c r="C303" s="33" t="n">
        <x:v>2026</x:v>
      </x:c>
      <x:c r="D303" s="34" t="n">
        <x:v>-0.4</x:v>
      </x:c>
      <x:c r="E303" t="str">
        <x:v>% del PIB</x:v>
      </x:c>
      <x:c r="F303" t="n">
        <x:v>2026</x:v>
      </x:c>
      <x:c r="G303" t="str">
        <x:v>IMF Country Report No. 26/84</x:v>
      </x:c>
    </x:row>
    <x:row r="304">
      <x:c r="A304" t="str">
        <x:v>Abr-2026</x:v>
      </x:c>
      <x:c r="B304" t="str">
        <x:v>Balance Fiscal NFPS (% PIB)</x:v>
      </x:c>
      <x:c r="C304" s="33" t="n">
        <x:v>2027</x:v>
      </x:c>
      <x:c r="D304" s="34" t="n">
        <x:v>0.7</x:v>
      </x:c>
      <x:c r="E304" t="str">
        <x:v>% del PIB</x:v>
      </x:c>
      <x:c r="F304" t="n">
        <x:v>2026</x:v>
      </x:c>
      <x:c r="G304" t="str">
        <x:v>IMF Country Report No. 26/84</x:v>
      </x:c>
    </x:row>
    <x:row r="305">
      <x:c r="A305" t="str">
        <x:v>Abr-2026</x:v>
      </x:c>
      <x:c r="B305" t="str">
        <x:v>Balance Fiscal NFPS (% PIB)</x:v>
      </x:c>
      <x:c r="C305" s="33" t="n">
        <x:v>2028</x:v>
      </x:c>
      <x:c r="D305" s="34" t="n">
        <x:v>1.2</x:v>
      </x:c>
      <x:c r="E305" t="str">
        <x:v>% del PIB</x:v>
      </x:c>
      <x:c r="F305" t="n">
        <x:v>2026</x:v>
      </x:c>
      <x:c r="G305" t="str">
        <x:v>IMF Country Report No. 26/84</x:v>
      </x:c>
    </x:row>
    <x:row r="306">
      <x:c r="A306" t="str">
        <x:v>Abr-2026</x:v>
      </x:c>
      <x:c r="B306" t="str">
        <x:v>Balance Fiscal NFPS (% PIB)</x:v>
      </x:c>
      <x:c r="C306" s="33" t="n">
        <x:v>2029</x:v>
      </x:c>
      <x:c r="D306" s="34" t="n">
        <x:v>1.2</x:v>
      </x:c>
      <x:c r="E306" t="str">
        <x:v>% del PIB</x:v>
      </x:c>
      <x:c r="F306" t="n">
        <x:v>2026</x:v>
      </x:c>
      <x:c r="G306" t="str">
        <x:v>IMF Country Report No. 26/84</x:v>
      </x:c>
    </x:row>
    <x:row r="307">
      <x:c r="A307" t="str">
        <x:v>Abr-2026</x:v>
      </x:c>
      <x:c r="B307" t="str">
        <x:v>Balance Fiscal NFPS (% PIB)</x:v>
      </x:c>
      <x:c r="C307" s="33" t="n">
        <x:v>2030</x:v>
      </x:c>
      <x:c r="D307" s="34" t="n">
        <x:v>1.4</x:v>
      </x:c>
      <x:c r="E307" t="str">
        <x:v>% del PIB</x:v>
      </x:c>
      <x:c r="F307" t="n">
        <x:v>2026</x:v>
      </x:c>
      <x:c r="G307" t="str">
        <x:v>IMF Country Report No. 26/84</x:v>
      </x:c>
    </x:row>
    <x:row r="308">
      <x:c r="A308" t="str">
        <x:v>Abr-2026</x:v>
      </x:c>
      <x:c r="B308" t="str">
        <x:v>Balance Fiscal NFPS (% PIB)</x:v>
      </x:c>
      <x:c r="C308" s="33" t="n">
        <x:v>2031</x:v>
      </x:c>
      <x:c r="D308" s="34" t="n">
        <x:v>1.5</x:v>
      </x:c>
      <x:c r="E308" t="str">
        <x:v>% del PIB</x:v>
      </x:c>
      <x:c r="F308" t="n">
        <x:v>2026</x:v>
      </x:c>
      <x:c r="G308" t="str">
        <x:v>IMF Country Report No. 26/84</x:v>
      </x:c>
    </x:row>
    <x:row r="309">
      <x:c r="A309" t="str">
        <x:v>Abr-2026</x:v>
      </x:c>
      <x:c r="B309" t="str">
        <x:v>Deuda Pública (% PIB)</x:v>
      </x:c>
      <x:c r="C309" s="33" t="n">
        <x:v>2026</x:v>
      </x:c>
      <x:c r="D309" s="34" t="n">
        <x:v>52.7</x:v>
      </x:c>
      <x:c r="E309" t="str">
        <x:v>% del PIB</x:v>
      </x:c>
      <x:c r="F309" t="n">
        <x:v>2026</x:v>
      </x:c>
      <x:c r="G309" t="str">
        <x:v>IMF Country Report No. 26/84</x:v>
      </x:c>
    </x:row>
    <x:row r="310">
      <x:c r="A310" t="str">
        <x:v>Abr-2026</x:v>
      </x:c>
      <x:c r="B310" t="str">
        <x:v>Deuda Pública (% PIB)</x:v>
      </x:c>
      <x:c r="C310" s="33" t="n">
        <x:v>2027</x:v>
      </x:c>
      <x:c r="D310" s="34" t="n">
        <x:v>50.9</x:v>
      </x:c>
      <x:c r="E310" t="str">
        <x:v>% del PIB</x:v>
      </x:c>
      <x:c r="F310" t="n">
        <x:v>2026</x:v>
      </x:c>
      <x:c r="G310" t="str">
        <x:v>IMF Country Report No. 26/84</x:v>
      </x:c>
    </x:row>
    <x:row r="311">
      <x:c r="A311" t="str">
        <x:v>Abr-2026</x:v>
      </x:c>
      <x:c r="B311" t="str">
        <x:v>Deuda Pública (% PIB)</x:v>
      </x:c>
      <x:c r="C311" s="33" t="n">
        <x:v>2028</x:v>
      </x:c>
      <x:c r="D311" s="34" t="n">
        <x:v>48.9</x:v>
      </x:c>
      <x:c r="E311" t="str">
        <x:v>% del PIB</x:v>
      </x:c>
      <x:c r="F311" t="n">
        <x:v>2026</x:v>
      </x:c>
      <x:c r="G311" t="str">
        <x:v>IMF Country Report No. 26/84</x:v>
      </x:c>
    </x:row>
    <x:row r="312">
      <x:c r="A312" t="str">
        <x:v>Abr-2026</x:v>
      </x:c>
      <x:c r="B312" t="str">
        <x:v>Deuda Pública (% PIB)</x:v>
      </x:c>
      <x:c r="C312" s="33" t="n">
        <x:v>2029</x:v>
      </x:c>
      <x:c r="D312" s="34" t="n">
        <x:v>46</x:v>
      </x:c>
      <x:c r="E312" t="str">
        <x:v>% del PIB</x:v>
      </x:c>
      <x:c r="F312" t="n">
        <x:v>2026</x:v>
      </x:c>
      <x:c r="G312" t="str">
        <x:v>IMF Country Report No. 26/84</x:v>
      </x:c>
    </x:row>
    <x:row r="313">
      <x:c r="A313" t="str">
        <x:v>Abr-2026</x:v>
      </x:c>
      <x:c r="B313" t="str">
        <x:v>Deuda Pública (% PIB)</x:v>
      </x:c>
      <x:c r="C313" s="33" t="n">
        <x:v>2030</x:v>
      </x:c>
      <x:c r="D313" s="34" t="n">
        <x:v>43.1</x:v>
      </x:c>
      <x:c r="E313" t="str">
        <x:v>% del PIB</x:v>
      </x:c>
      <x:c r="F313" t="n">
        <x:v>2026</x:v>
      </x:c>
      <x:c r="G313" t="str">
        <x:v>IMF Country Report No. 26/84</x:v>
      </x:c>
    </x:row>
    <x:row r="314">
      <x:c r="A314" t="str">
        <x:v>Abr-2026</x:v>
      </x:c>
      <x:c r="B314" t="str">
        <x:v>Deuda Pública (% PIB)</x:v>
      </x:c>
      <x:c r="C314" s="33" t="n">
        <x:v>2031</x:v>
      </x:c>
      <x:c r="D314" s="34" t="n">
        <x:v>39.8</x:v>
      </x:c>
      <x:c r="E314" t="str">
        <x:v>% del PIB</x:v>
      </x:c>
      <x:c r="F314" t="n">
        <x:v>2026</x:v>
      </x:c>
      <x:c r="G314" t="str">
        <x:v>IMF Country Report No. 26/84</x:v>
      </x:c>
    </x:row>
    <x:row r="315">
      <x:c r="A315" t="str">
        <x:v>Abr-2026</x:v>
      </x:c>
      <x:c r="B315" t="str">
        <x:v>Precio Petróleo Ecuador (USD/bbl)</x:v>
      </x:c>
      <x:c r="C315" s="33" t="n">
        <x:v>2026</x:v>
      </x:c>
      <x:c r="D315" s="34" t="n">
        <x:v>66.4</x:v>
      </x:c>
      <x:c r="E315" t="str">
        <x:v>USD/barril</x:v>
      </x:c>
      <x:c r="F315" t="n">
        <x:v>2026</x:v>
      </x:c>
      <x:c r="G315" t="str">
        <x:v>IMF Country Report No. 26/84</x:v>
      </x:c>
    </x:row>
    <x:row r="316">
      <x:c r="A316" t="str">
        <x:v>Abr-2026</x:v>
      </x:c>
      <x:c r="B316" t="str">
        <x:v>Precio Petróleo Ecuador (USD/bbl)</x:v>
      </x:c>
      <x:c r="C316" s="33" t="n">
        <x:v>2027</x:v>
      </x:c>
      <x:c r="D316" s="34" t="n">
        <x:v>58.4</x:v>
      </x:c>
      <x:c r="E316" t="str">
        <x:v>USD/barril</x:v>
      </x:c>
      <x:c r="F316" t="n">
        <x:v>2026</x:v>
      </x:c>
      <x:c r="G316" t="str">
        <x:v>IMF Country Report No. 26/84</x:v>
      </x:c>
    </x:row>
    <x:row r="317">
      <x:c r="A317" t="str">
        <x:v>Abr-2026</x:v>
      </x:c>
      <x:c r="B317" t="str">
        <x:v>Precio Petróleo Ecuador (USD/bbl)</x:v>
      </x:c>
      <x:c r="C317" s="33" t="n">
        <x:v>2028</x:v>
      </x:c>
      <x:c r="D317" s="34" t="n">
        <x:v>57.6</x:v>
      </x:c>
      <x:c r="E317" t="str">
        <x:v>USD/barril</x:v>
      </x:c>
      <x:c r="F317" t="n">
        <x:v>2026</x:v>
      </x:c>
      <x:c r="G317" t="str">
        <x:v>IMF Country Report No. 26/84</x:v>
      </x:c>
    </x:row>
    <x:row r="318">
      <x:c r="A318" t="str">
        <x:v>Abr-2026</x:v>
      </x:c>
      <x:c r="B318" t="str">
        <x:v>Precio Petróleo Ecuador (USD/bbl)</x:v>
      </x:c>
      <x:c r="C318" s="33" t="n">
        <x:v>2029</x:v>
      </x:c>
      <x:c r="D318" s="34" t="n">
        <x:v>57.1</x:v>
      </x:c>
      <x:c r="E318" t="str">
        <x:v>USD/barril</x:v>
      </x:c>
      <x:c r="F318" t="n">
        <x:v>2026</x:v>
      </x:c>
      <x:c r="G318" t="str">
        <x:v>IMF Country Report No. 26/84</x:v>
      </x:c>
    </x:row>
    <x:row r="319">
      <x:c r="A319" t="str">
        <x:v>Abr-2026</x:v>
      </x:c>
      <x:c r="B319" t="str">
        <x:v>Precio Petróleo Ecuador (USD/bbl)</x:v>
      </x:c>
      <x:c r="C319" s="33" t="n">
        <x:v>2030</x:v>
      </x:c>
      <x:c r="D319" s="34" t="n">
        <x:v>56.6</x:v>
      </x:c>
      <x:c r="E319" t="str">
        <x:v>USD/barril</x:v>
      </x:c>
      <x:c r="F319" t="n">
        <x:v>2026</x:v>
      </x:c>
      <x:c r="G319" t="str">
        <x:v>IMF Country Report No. 26/84</x:v>
      </x:c>
    </x:row>
    <x:row r="320">
      <x:c r="A320" t="str">
        <x:v>Abr-2026</x:v>
      </x:c>
      <x:c r="B320" t="str">
        <x:v>Precio Petróleo Ecuador (USD/bbl)</x:v>
      </x:c>
      <x:c r="C320" s="33" t="n">
        <x:v>2031</x:v>
      </x:c>
      <x:c r="D320" s="34" t="n">
        <x:v>56.6</x:v>
      </x:c>
      <x:c r="E320" t="str">
        <x:v>USD/barril</x:v>
      </x:c>
      <x:c r="F320" t="n">
        <x:v>2026</x:v>
      </x:c>
      <x:c r="G320" t="str">
        <x:v>IMF Country Report No. 26/84</x:v>
      </x:c>
    </x:row>
    <x:row r="321">
      <x:c r="A321" t="str">
        <x:v>Abr-2026</x:v>
      </x:c>
      <x:c r="B321" t="str">
        <x:v>PIB Nominal (USD mn)</x:v>
      </x:c>
      <x:c r="C321" s="33" t="n">
        <x:v>2026</x:v>
      </x:c>
      <x:c r="D321" s="34" t="n">
        <x:v>138194</x:v>
      </x:c>
      <x:c r="E321" t="str">
        <x:v>USD millones</x:v>
      </x:c>
      <x:c r="F321" t="n">
        <x:v>2026</x:v>
      </x:c>
      <x:c r="G321" t="str">
        <x:v>IMF Country Report No. 26/84</x:v>
      </x:c>
    </x:row>
    <x:row r="322">
      <x:c r="A322" t="str">
        <x:v>Abr-2026</x:v>
      </x:c>
      <x:c r="B322" t="str">
        <x:v>PIB Nominal (USD mn)</x:v>
      </x:c>
      <x:c r="C322" s="33" t="n">
        <x:v>2027</x:v>
      </x:c>
      <x:c r="D322" s="34" t="n">
        <x:v>144135</x:v>
      </x:c>
      <x:c r="E322" t="str">
        <x:v>USD millones</x:v>
      </x:c>
      <x:c r="F322" t="n">
        <x:v>2026</x:v>
      </x:c>
      <x:c r="G322" t="str">
        <x:v>IMF Country Report No. 26/84</x:v>
      </x:c>
    </x:row>
    <x:row r="323">
      <x:c r="A323" t="str">
        <x:v>Abr-2026</x:v>
      </x:c>
      <x:c r="B323" t="str">
        <x:v>PIB Nominal (USD mn)</x:v>
      </x:c>
      <x:c r="C323" s="33" t="n">
        <x:v>2028</x:v>
      </x:c>
      <x:c r="D323" s="34" t="n">
        <x:v>150136</x:v>
      </x:c>
      <x:c r="E323" t="str">
        <x:v>USD millones</x:v>
      </x:c>
      <x:c r="F323" t="n">
        <x:v>2026</x:v>
      </x:c>
      <x:c r="G323" t="str">
        <x:v>IMF Country Report No. 26/84</x:v>
      </x:c>
    </x:row>
    <x:row r="324">
      <x:c r="A324" t="str">
        <x:v>Abr-2026</x:v>
      </x:c>
      <x:c r="B324" t="str">
        <x:v>PIB Nominal (USD mn)</x:v>
      </x:c>
      <x:c r="C324" s="33" t="n">
        <x:v>2029</x:v>
      </x:c>
      <x:c r="D324" s="34" t="n">
        <x:v>156661</x:v>
      </x:c>
      <x:c r="E324" t="str">
        <x:v>USD millones</x:v>
      </x:c>
      <x:c r="F324" t="n">
        <x:v>2026</x:v>
      </x:c>
      <x:c r="G324" t="str">
        <x:v>IMF Country Report No. 26/84</x:v>
      </x:c>
    </x:row>
    <x:row r="325">
      <x:c r="A325" t="str">
        <x:v>Abr-2026</x:v>
      </x:c>
      <x:c r="B325" t="str">
        <x:v>PIB Nominal (USD mn)</x:v>
      </x:c>
      <x:c r="C325" s="33" t="n">
        <x:v>2030</x:v>
      </x:c>
      <x:c r="D325" s="34" t="n">
        <x:v>163818</x:v>
      </x:c>
      <x:c r="E325" t="str">
        <x:v>USD millones</x:v>
      </x:c>
      <x:c r="F325" t="n">
        <x:v>2026</x:v>
      </x:c>
      <x:c r="G325" t="str">
        <x:v>IMF Country Report No. 26/84</x:v>
      </x:c>
    </x:row>
    <x:row r="326">
      <x:c r="A326" t="str">
        <x:v>Abr-2026</x:v>
      </x:c>
      <x:c r="B326" t="str">
        <x:v>PIB Nominal (USD mn)</x:v>
      </x:c>
      <x:c r="C326" s="33" t="n">
        <x:v>2031</x:v>
      </x:c>
      <x:c r="D326" s="34" t="n">
        <x:v>171302</x:v>
      </x:c>
      <x:c r="E326" t="str">
        <x:v>USD millones</x:v>
      </x:c>
      <x:c r="F326" t="n">
        <x:v>2026</x:v>
      </x:c>
      <x:c r="G326" t="str">
        <x:v>IMF Country Report No. 26/84</x:v>
      </x:c>
    </x:row>
    <x:row r="327">
      <x:c r="A327" t="str">
        <x:v>Abr-2026</x:v>
      </x:c>
      <x:c r="B327" t="str">
        <x:v>Reservas Internacionales (USD mn)</x:v>
      </x:c>
      <x:c r="C327" s="33" t="n">
        <x:v>2026</x:v>
      </x:c>
      <x:c r="D327" s="34" t="n">
        <x:v>13797</x:v>
      </x:c>
      <x:c r="E327" t="str">
        <x:v>USD millones</x:v>
      </x:c>
      <x:c r="F327" t="n">
        <x:v>2026</x:v>
      </x:c>
      <x:c r="G327" t="str">
        <x:v>IMF Country Report No. 26/84</x:v>
      </x:c>
    </x:row>
    <x:row r="328">
      <x:c r="A328" t="str">
        <x:v>Abr-2026</x:v>
      </x:c>
      <x:c r="B328" t="str">
        <x:v>Reservas Internacionales (USD mn)</x:v>
      </x:c>
      <x:c r="C328" s="33" t="n">
        <x:v>2027</x:v>
      </x:c>
      <x:c r="D328" s="34" t="n">
        <x:v>17548</x:v>
      </x:c>
      <x:c r="E328" t="str">
        <x:v>USD millones</x:v>
      </x:c>
      <x:c r="F328" t="n">
        <x:v>2026</x:v>
      </x:c>
      <x:c r="G328" t="str">
        <x:v>IMF Country Report No. 26/84</x:v>
      </x:c>
    </x:row>
    <x:row r="329">
      <x:c r="A329" t="str">
        <x:v>Abr-2026</x:v>
      </x:c>
      <x:c r="B329" t="str">
        <x:v>Reservas Internacionales (USD mn)</x:v>
      </x:c>
      <x:c r="C329" s="33" t="n">
        <x:v>2028</x:v>
      </x:c>
      <x:c r="D329" s="34" t="n">
        <x:v>21059</x:v>
      </x:c>
      <x:c r="E329" t="str">
        <x:v>USD millones</x:v>
      </x:c>
      <x:c r="F329" t="n">
        <x:v>2026</x:v>
      </x:c>
      <x:c r="G329" t="str">
        <x:v>IMF Country Report No. 26/84</x:v>
      </x:c>
    </x:row>
    <x:row r="330">
      <x:c r="A330" t="str">
        <x:v>Abr-2026</x:v>
      </x:c>
      <x:c r="B330" t="str">
        <x:v>Reservas Internacionales (USD mn)</x:v>
      </x:c>
      <x:c r="C330" s="33" t="n">
        <x:v>2029</x:v>
      </x:c>
      <x:c r="D330" s="34" t="n">
        <x:v>24437</x:v>
      </x:c>
      <x:c r="E330" t="str">
        <x:v>USD millones</x:v>
      </x:c>
      <x:c r="F330" t="n">
        <x:v>2026</x:v>
      </x:c>
      <x:c r="G330" t="str">
        <x:v>IMF Country Report No. 26/84</x:v>
      </x:c>
    </x:row>
    <x:row r="331">
      <x:c r="A331" t="str">
        <x:v>Abr-2026</x:v>
      </x:c>
      <x:c r="B331" t="str">
        <x:v>Reservas Internacionales (USD mn)</x:v>
      </x:c>
      <x:c r="C331" s="33" t="n">
        <x:v>2030</x:v>
      </x:c>
      <x:c r="D331" s="34" t="n">
        <x:v>27535</x:v>
      </x:c>
      <x:c r="E331" t="str">
        <x:v>USD millones</x:v>
      </x:c>
      <x:c r="F331" t="n">
        <x:v>2026</x:v>
      </x:c>
      <x:c r="G331" t="str">
        <x:v>IMF Country Report No. 26/84</x:v>
      </x:c>
    </x:row>
    <x:row r="332">
      <x:c r="A332" t="str">
        <x:v>Abr-2026</x:v>
      </x:c>
      <x:c r="B332" t="str">
        <x:v>Reservas Internacionales (USD mn)</x:v>
      </x:c>
      <x:c r="C332" s="33" t="n">
        <x:v>2031</x:v>
      </x:c>
      <x:c r="D332" s="34" t="n">
        <x:v>30529</x:v>
      </x:c>
      <x:c r="E332" t="str">
        <x:v>USD millones</x:v>
      </x:c>
      <x:c r="F332" t="n">
        <x:v>2026</x:v>
      </x:c>
      <x:c r="G332" t="str">
        <x:v>IMF Country Report No. 26/84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7a6ea4ed5c044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3" t="str">
        <x:v>Errores de pronóstico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Error = pronóstico - histórico/estimado; todas las derivaciones son fórmulas</x:v>
      </x:c>
      <x:c r="B2" s="6"/>
      <x:c r="C2" s="6"/>
      <x:c r="D2" s="6"/>
      <x:c r="E2" s="6"/>
      <x:c r="F2" s="6"/>
      <x:c r="G2" s="6"/>
      <x:c r="H2" s="6"/>
    </x:row>
    <x:row r="4" ht="22" customHeight="1">
      <x:c r="A4" s="11" t="str">
        <x:v>Vintage</x:v>
      </x:c>
      <x:c r="B4" s="16" t="str">
        <x:v>Variable</x:v>
      </x:c>
      <x:c r="C4" s="16" t="str">
        <x:v>Año</x:v>
      </x:c>
      <x:c r="D4" s="16" t="str">
        <x:v>Pronóstico</x:v>
      </x:c>
      <x:c r="E4" s="16" t="str">
        <x:v>Histórico/estimado</x:v>
      </x:c>
      <x:c r="F4" s="16" t="str">
        <x:v>Error</x:v>
      </x:c>
      <x:c r="G4" s="16" t="str">
        <x:v>Error absoluto</x:v>
      </x:c>
      <x:c r="H4" s="12" t="str">
        <x:v>Error²</x:v>
      </x:c>
    </x:row>
    <x:row r="5">
      <x:c r="A5" t="str">
        <x:v>Mar-2019</x:v>
      </x:c>
      <x:c r="B5" t="str">
        <x:v>Real GDP (%)</x:v>
      </x:c>
      <x:c r="C5" s="33" t="n">
        <x:v>2019</x:v>
      </x:c>
      <x:c r="D5" s="34" t="n">
        <x:v>-0.5</x:v>
      </x:c>
      <x:c r="E5" s="34" t="n">
        <x:v>0</x:v>
      </x:c>
      <x:c r="F5" s="34" t="n">
        <x:f>D5-E5</x:f>
        <x:v>-0.5</x:v>
      </x:c>
      <x:c r="G5" s="34" t="n">
        <x:f>ABS(F5)</x:f>
        <x:v>0.5</x:v>
      </x:c>
      <x:c r="H5" s="34" t="n">
        <x:f>F5^2</x:f>
        <x:v>0.25</x:v>
      </x:c>
    </x:row>
    <x:row r="6">
      <x:c r="A6" t="str">
        <x:v>Mar-2019</x:v>
      </x:c>
      <x:c r="B6" t="str">
        <x:v>Real GDP (%)</x:v>
      </x:c>
      <x:c r="C6" s="33" t="n">
        <x:v>2020</x:v>
      </x:c>
      <x:c r="D6" s="34" t="n">
        <x:v>0.2</x:v>
      </x:c>
      <x:c r="E6" s="34" t="n">
        <x:v>-7.8</x:v>
      </x:c>
      <x:c r="F6" s="34" t="n">
        <x:f>D6-E6</x:f>
        <x:v>8</x:v>
      </x:c>
      <x:c r="G6" s="34" t="n">
        <x:f>ABS(F6)</x:f>
        <x:v>8</x:v>
      </x:c>
      <x:c r="H6" s="34" t="n">
        <x:f>F6^2</x:f>
        <x:v>64</x:v>
      </x:c>
    </x:row>
    <x:row r="7">
      <x:c r="A7" t="str">
        <x:v>Mar-2019</x:v>
      </x:c>
      <x:c r="B7" t="str">
        <x:v>Real GDP (%)</x:v>
      </x:c>
      <x:c r="C7" s="33" t="n">
        <x:v>2021</x:v>
      </x:c>
      <x:c r="D7" s="34" t="n">
        <x:v>1.2</x:v>
      </x:c>
      <x:c r="E7" s="34" t="n">
        <x:v>4.2</x:v>
      </x:c>
      <x:c r="F7" s="34" t="n">
        <x:f>D7-E7</x:f>
        <x:v>-3</x:v>
      </x:c>
      <x:c r="G7" s="34" t="n">
        <x:f>ABS(F7)</x:f>
        <x:v>3</x:v>
      </x:c>
      <x:c r="H7" s="34" t="n">
        <x:f>F7^2</x:f>
        <x:v>9</x:v>
      </x:c>
    </x:row>
    <x:row r="8">
      <x:c r="A8" t="str">
        <x:v>Mar-2019</x:v>
      </x:c>
      <x:c r="B8" t="str">
        <x:v>Real GDP (%)</x:v>
      </x:c>
      <x:c r="C8" s="33" t="n">
        <x:v>2022</x:v>
      </x:c>
      <x:c r="D8" s="34" t="n">
        <x:v>2.7</x:v>
      </x:c>
      <x:c r="E8" s="34" t="n">
        <x:v>6.2</x:v>
      </x:c>
      <x:c r="F8" s="34" t="n">
        <x:f>D8-E8</x:f>
        <x:v>-3.5</x:v>
      </x:c>
      <x:c r="G8" s="34" t="n">
        <x:f>ABS(F8)</x:f>
        <x:v>3.5</x:v>
      </x:c>
      <x:c r="H8" s="34" t="n">
        <x:f>F8^2</x:f>
        <x:v>12.25</x:v>
      </x:c>
    </x:row>
    <x:row r="9">
      <x:c r="A9" t="str">
        <x:v>Mar-2019</x:v>
      </x:c>
      <x:c r="B9" t="str">
        <x:v>Real GDP (%)</x:v>
      </x:c>
      <x:c r="C9" s="33" t="n">
        <x:v>2023</x:v>
      </x:c>
      <x:c r="D9" s="34" t="n">
        <x:v>2.3</x:v>
      </x:c>
      <x:c r="E9" s="34" t="n">
        <x:v>1.8</x:v>
      </x:c>
      <x:c r="F9" s="34" t="n">
        <x:f>D9-E9</x:f>
        <x:v>0.4999999999999998</x:v>
      </x:c>
      <x:c r="G9" s="34" t="n">
        <x:f>ABS(F9)</x:f>
        <x:v>0.4999999999999998</x:v>
      </x:c>
      <x:c r="H9" s="34" t="n">
        <x:f>F9^2</x:f>
        <x:v>0.24999999999999978</x:v>
      </x:c>
    </x:row>
    <x:row r="10">
      <x:c r="A10" t="str">
        <x:v>Mar-2019</x:v>
      </x:c>
      <x:c r="B10" t="str">
        <x:v>Inflación promedio (%)</x:v>
      </x:c>
      <x:c r="C10" s="33" t="n">
        <x:v>2019</x:v>
      </x:c>
      <x:c r="D10" s="34" t="n">
        <x:v>0.6</x:v>
      </x:c>
      <x:c r="E10" s="34" t="n">
        <x:v>0.3</x:v>
      </x:c>
      <x:c r="F10" s="34" t="n">
        <x:f>D10-E10</x:f>
        <x:v>0.3</x:v>
      </x:c>
      <x:c r="G10" s="34" t="n">
        <x:f>ABS(F10)</x:f>
        <x:v>0.3</x:v>
      </x:c>
      <x:c r="H10" s="34" t="n">
        <x:f>F10^2</x:f>
        <x:v>0.09</x:v>
      </x:c>
    </x:row>
    <x:row r="11">
      <x:c r="A11" t="str">
        <x:v>Mar-2019</x:v>
      </x:c>
      <x:c r="B11" t="str">
        <x:v>Inflación promedio (%)</x:v>
      </x:c>
      <x:c r="C11" s="33" t="n">
        <x:v>2020</x:v>
      </x:c>
      <x:c r="D11" s="34" t="n">
        <x:v>1.2</x:v>
      </x:c>
      <x:c r="E11" s="34" t="n">
        <x:v>-0.3</x:v>
      </x:c>
      <x:c r="F11" s="34" t="n">
        <x:f>D11-E11</x:f>
        <x:v>1.5</x:v>
      </x:c>
      <x:c r="G11" s="34" t="n">
        <x:f>ABS(F11)</x:f>
        <x:v>1.5</x:v>
      </x:c>
      <x:c r="H11" s="34" t="n">
        <x:f>F11^2</x:f>
        <x:v>2.25</x:v>
      </x:c>
    </x:row>
    <x:row r="12">
      <x:c r="A12" t="str">
        <x:v>Mar-2019</x:v>
      </x:c>
      <x:c r="B12" t="str">
        <x:v>Inflación promedio (%)</x:v>
      </x:c>
      <x:c r="C12" s="33" t="n">
        <x:v>2021</x:v>
      </x:c>
      <x:c r="D12" s="34" t="n">
        <x:v>1.6</x:v>
      </x:c>
      <x:c r="E12" s="34" t="n">
        <x:v>0.1</x:v>
      </x:c>
      <x:c r="F12" s="34" t="n">
        <x:f>D12-E12</x:f>
        <x:v>1.5</x:v>
      </x:c>
      <x:c r="G12" s="34" t="n">
        <x:f>ABS(F12)</x:f>
        <x:v>1.5</x:v>
      </x:c>
      <x:c r="H12" s="34" t="n">
        <x:f>F12^2</x:f>
        <x:v>2.25</x:v>
      </x:c>
    </x:row>
    <x:row r="13">
      <x:c r="A13" t="str">
        <x:v>Mar-2019</x:v>
      </x:c>
      <x:c r="B13" t="str">
        <x:v>Inflación promedio (%)</x:v>
      </x:c>
      <x:c r="C13" s="33" t="n">
        <x:v>2022</x:v>
      </x:c>
      <x:c r="D13" s="34" t="n">
        <x:v>1.3</x:v>
      </x:c>
      <x:c r="E13" s="34" t="n">
        <x:v>3.5</x:v>
      </x:c>
      <x:c r="F13" s="34" t="n">
        <x:f>D13-E13</x:f>
        <x:v>-2.2</x:v>
      </x:c>
      <x:c r="G13" s="34" t="n">
        <x:f>ABS(F13)</x:f>
        <x:v>2.2</x:v>
      </x:c>
      <x:c r="H13" s="34" t="n">
        <x:f>F13^2</x:f>
        <x:v>4.840000000000001</x:v>
      </x:c>
    </x:row>
    <x:row r="14">
      <x:c r="A14" t="str">
        <x:v>Mar-2019</x:v>
      </x:c>
      <x:c r="B14" t="str">
        <x:v>Inflación promedio (%)</x:v>
      </x:c>
      <x:c r="C14" s="33" t="n">
        <x:v>2023</x:v>
      </x:c>
      <x:c r="D14" s="34" t="n">
        <x:v>1.1</x:v>
      </x:c>
      <x:c r="E14" s="34" t="n">
        <x:v>2.2</x:v>
      </x:c>
      <x:c r="F14" s="34" t="n">
        <x:f>D14-E14</x:f>
        <x:v>-1.1</x:v>
      </x:c>
      <x:c r="G14" s="34" t="n">
        <x:f>ABS(F14)</x:f>
        <x:v>1.1</x:v>
      </x:c>
      <x:c r="H14" s="34" t="n">
        <x:f>F14^2</x:f>
        <x:v>1.2100000000000002</x:v>
      </x:c>
    </x:row>
    <x:row r="15">
      <x:c r="A15" t="str">
        <x:v>Mar-2019</x:v>
      </x:c>
      <x:c r="B15" t="str">
        <x:v>Cuenta Corriente (% PIB)</x:v>
      </x:c>
      <x:c r="C15" s="33" t="n">
        <x:v>2019</x:v>
      </x:c>
      <x:c r="D15" s="34" t="n">
        <x:v>0.4</x:v>
      </x:c>
      <x:c r="E15" s="34" t="n">
        <x:v>-0.1</x:v>
      </x:c>
      <x:c r="F15" s="34" t="n">
        <x:f>D15-E15</x:f>
        <x:v>0.5</x:v>
      </x:c>
      <x:c r="G15" s="34" t="n">
        <x:f>ABS(F15)</x:f>
        <x:v>0.5</x:v>
      </x:c>
      <x:c r="H15" s="34" t="n">
        <x:f>F15^2</x:f>
        <x:v>0.25</x:v>
      </x:c>
    </x:row>
    <x:row r="16">
      <x:c r="A16" t="str">
        <x:v>Mar-2019</x:v>
      </x:c>
      <x:c r="B16" t="str">
        <x:v>Cuenta Corriente (% PIB)</x:v>
      </x:c>
      <x:c r="C16" s="33" t="n">
        <x:v>2020</x:v>
      </x:c>
      <x:c r="D16" s="34" t="n">
        <x:v>1.4</x:v>
      </x:c>
      <x:c r="E16" s="34" t="n">
        <x:v>2.7</x:v>
      </x:c>
      <x:c r="F16" s="34" t="n">
        <x:f>D16-E16</x:f>
        <x:v>-1.3000000000000003</x:v>
      </x:c>
      <x:c r="G16" s="34" t="n">
        <x:f>ABS(F16)</x:f>
        <x:v>1.3000000000000003</x:v>
      </x:c>
      <x:c r="H16" s="34" t="n">
        <x:f>F16^2</x:f>
        <x:v>1.6900000000000006</x:v>
      </x:c>
    </x:row>
    <x:row r="17">
      <x:c r="A17" t="str">
        <x:v>Mar-2019</x:v>
      </x:c>
      <x:c r="B17" t="str">
        <x:v>Cuenta Corriente (% PIB)</x:v>
      </x:c>
      <x:c r="C17" s="33" t="n">
        <x:v>2021</x:v>
      </x:c>
      <x:c r="D17" s="34" t="n">
        <x:v>1.5</x:v>
      </x:c>
      <x:c r="E17" s="34" t="n">
        <x:v>2.9</x:v>
      </x:c>
      <x:c r="F17" s="34" t="n">
        <x:f>D17-E17</x:f>
        <x:v>-1.4</x:v>
      </x:c>
      <x:c r="G17" s="34" t="n">
        <x:f>ABS(F17)</x:f>
        <x:v>1.4</x:v>
      </x:c>
      <x:c r="H17" s="34" t="n">
        <x:f>F17^2</x:f>
        <x:v>1.9599999999999997</x:v>
      </x:c>
    </x:row>
    <x:row r="18">
      <x:c r="A18" t="str">
        <x:v>Mar-2019</x:v>
      </x:c>
      <x:c r="B18" t="str">
        <x:v>Cuenta Corriente (% PIB)</x:v>
      </x:c>
      <x:c r="C18" s="33" t="n">
        <x:v>2022</x:v>
      </x:c>
      <x:c r="D18" s="34" t="n">
        <x:v>1.5</x:v>
      </x:c>
      <x:c r="E18" s="34" t="n">
        <x:v>1.8</x:v>
      </x:c>
      <x:c r="F18" s="34" t="n">
        <x:f>D18-E18</x:f>
        <x:v>-0.30000000000000004</x:v>
      </x:c>
      <x:c r="G18" s="34" t="n">
        <x:f>ABS(F18)</x:f>
        <x:v>0.30000000000000004</x:v>
      </x:c>
      <x:c r="H18" s="34" t="n">
        <x:f>F18^2</x:f>
        <x:v>0.09000000000000002</x:v>
      </x:c>
    </x:row>
    <x:row r="19">
      <x:c r="A19" t="str">
        <x:v>Mar-2019</x:v>
      </x:c>
      <x:c r="B19" t="str">
        <x:v>Cuenta Corriente (% PIB)</x:v>
      </x:c>
      <x:c r="C19" s="33" t="n">
        <x:v>2023</x:v>
      </x:c>
      <x:c r="D19" s="34" t="n">
        <x:v>1.7</x:v>
      </x:c>
      <x:c r="E19" s="34" t="n">
        <x:v>2</x:v>
      </x:c>
      <x:c r="F19" s="34" t="n">
        <x:f>D19-E19</x:f>
        <x:v>-0.30000000000000004</x:v>
      </x:c>
      <x:c r="G19" s="34" t="n">
        <x:f>ABS(F19)</x:f>
        <x:v>0.30000000000000004</x:v>
      </x:c>
      <x:c r="H19" s="34" t="n">
        <x:f>F19^2</x:f>
        <x:v>0.09000000000000002</x:v>
      </x:c>
    </x:row>
    <x:row r="20">
      <x:c r="A20" t="str">
        <x:v>Mar-2019</x:v>
      </x:c>
      <x:c r="B20" t="str">
        <x:v>Balance Fiscal NFPS (% PIB)</x:v>
      </x:c>
      <x:c r="C20" s="33" t="n">
        <x:v>2019</x:v>
      </x:c>
      <x:c r="D20" s="34" t="n">
        <x:v>0</x:v>
      </x:c>
      <x:c r="E20" s="34" t="n">
        <x:v>-2.7</x:v>
      </x:c>
      <x:c r="F20" s="34" t="n">
        <x:f>D20-E20</x:f>
        <x:v>2.7</x:v>
      </x:c>
      <x:c r="G20" s="34" t="n">
        <x:f>ABS(F20)</x:f>
        <x:v>2.7</x:v>
      </x:c>
      <x:c r="H20" s="34" t="n">
        <x:f>F20^2</x:f>
        <x:v>7.290000000000001</x:v>
      </x:c>
    </x:row>
    <x:row r="21">
      <x:c r="A21" t="str">
        <x:v>Mar-2019</x:v>
      </x:c>
      <x:c r="B21" t="str">
        <x:v>Balance Fiscal NFPS (% PIB)</x:v>
      </x:c>
      <x:c r="C21" s="33" t="n">
        <x:v>2020</x:v>
      </x:c>
      <x:c r="D21" s="34" t="n">
        <x:v>3.8</x:v>
      </x:c>
      <x:c r="E21" s="34" t="n">
        <x:v>-7.1</x:v>
      </x:c>
      <x:c r="F21" s="34" t="n">
        <x:f>D21-E21</x:f>
        <x:v>10.899999999999999</x:v>
      </x:c>
      <x:c r="G21" s="34" t="n">
        <x:f>ABS(F21)</x:f>
        <x:v>10.899999999999999</x:v>
      </x:c>
      <x:c r="H21" s="34" t="n">
        <x:f>F21^2</x:f>
        <x:v>118.80999999999997</x:v>
      </x:c>
    </x:row>
    <x:row r="22">
      <x:c r="A22" t="str">
        <x:v>Mar-2019</x:v>
      </x:c>
      <x:c r="B22" t="str">
        <x:v>Balance Fiscal NFPS (% PIB)</x:v>
      </x:c>
      <x:c r="C22" s="33" t="n">
        <x:v>2021</x:v>
      </x:c>
      <x:c r="D22" s="34" t="n">
        <x:v>2.9</x:v>
      </x:c>
      <x:c r="E22" s="34" t="n">
        <x:v>-1.6</x:v>
      </x:c>
      <x:c r="F22" s="34" t="n">
        <x:f>D22-E22</x:f>
        <x:v>4.5</x:v>
      </x:c>
      <x:c r="G22" s="34" t="n">
        <x:f>ABS(F22)</x:f>
        <x:v>4.5</x:v>
      </x:c>
      <x:c r="H22" s="34" t="n">
        <x:f>F22^2</x:f>
        <x:v>20.25</x:v>
      </x:c>
    </x:row>
    <x:row r="23">
      <x:c r="A23" t="str">
        <x:v>Mar-2019</x:v>
      </x:c>
      <x:c r="B23" t="str">
        <x:v>Balance Fiscal NFPS (% PIB)</x:v>
      </x:c>
      <x:c r="C23" s="33" t="n">
        <x:v>2022</x:v>
      </x:c>
      <x:c r="D23" s="34" t="n">
        <x:v>2.8</x:v>
      </x:c>
      <x:c r="E23" s="34" t="n">
        <x:v>0</x:v>
      </x:c>
      <x:c r="F23" s="34" t="n">
        <x:f>D23-E23</x:f>
        <x:v>2.8</x:v>
      </x:c>
      <x:c r="G23" s="34" t="n">
        <x:f>ABS(F23)</x:f>
        <x:v>2.8</x:v>
      </x:c>
      <x:c r="H23" s="34" t="n">
        <x:f>F23^2</x:f>
        <x:v>7.839999999999999</x:v>
      </x:c>
    </x:row>
    <x:row r="24">
      <x:c r="A24" t="str">
        <x:v>Mar-2019</x:v>
      </x:c>
      <x:c r="B24" t="str">
        <x:v>Balance Fiscal NFPS (% PIB)</x:v>
      </x:c>
      <x:c r="C24" s="33" t="n">
        <x:v>2023</x:v>
      </x:c>
      <x:c r="D24" s="34" t="n">
        <x:v>2.9</x:v>
      </x:c>
      <x:c r="E24" s="34" t="n">
        <x:v>-3.5</x:v>
      </x:c>
      <x:c r="F24" s="34" t="n">
        <x:f>D24-E24</x:f>
        <x:v>6.4</x:v>
      </x:c>
      <x:c r="G24" s="34" t="n">
        <x:f>ABS(F24)</x:f>
        <x:v>6.4</x:v>
      </x:c>
      <x:c r="H24" s="34" t="n">
        <x:f>F24^2</x:f>
        <x:v>40.96000000000001</x:v>
      </x:c>
    </x:row>
    <x:row r="25">
      <x:c r="A25" t="str">
        <x:v>Mar-2019</x:v>
      </x:c>
      <x:c r="B25" t="str">
        <x:v>Deuda Pública (% PIB)</x:v>
      </x:c>
      <x:c r="C25" s="33" t="n">
        <x:v>2019</x:v>
      </x:c>
      <x:c r="D25" s="34" t="n">
        <x:v>49.2</x:v>
      </x:c>
      <x:c r="E25" s="34" t="n">
        <x:v>51.4</x:v>
      </x:c>
      <x:c r="F25" s="34" t="n">
        <x:f>D25-E25</x:f>
        <x:v>-2.1999999999999957</x:v>
      </x:c>
      <x:c r="G25" s="34" t="n">
        <x:f>ABS(F25)</x:f>
        <x:v>2.1999999999999957</x:v>
      </x:c>
      <x:c r="H25" s="34" t="n">
        <x:f>F25^2</x:f>
        <x:v>4.839999999999981</x:v>
      </x:c>
    </x:row>
    <x:row r="26">
      <x:c r="A26" t="str">
        <x:v>Mar-2019</x:v>
      </x:c>
      <x:c r="B26" t="str">
        <x:v>Deuda Pública (% PIB)</x:v>
      </x:c>
      <x:c r="C26" s="33" t="n">
        <x:v>2020</x:v>
      </x:c>
      <x:c r="D26" s="34" t="n">
        <x:v>46.8</x:v>
      </x:c>
      <x:c r="E26" s="34" t="n">
        <x:v>60.9</x:v>
      </x:c>
      <x:c r="F26" s="34" t="n">
        <x:f>D26-E26</x:f>
        <x:v>-14.100000000000001</x:v>
      </x:c>
      <x:c r="G26" s="34" t="n">
        <x:f>ABS(F26)</x:f>
        <x:v>14.100000000000001</x:v>
      </x:c>
      <x:c r="H26" s="34" t="n">
        <x:f>F26^2</x:f>
        <x:v>198.81000000000003</x:v>
      </x:c>
    </x:row>
    <x:row r="27">
      <x:c r="A27" t="str">
        <x:v>Mar-2019</x:v>
      </x:c>
      <x:c r="B27" t="str">
        <x:v>Deuda Pública (% PIB)</x:v>
      </x:c>
      <x:c r="C27" s="33" t="n">
        <x:v>2021</x:v>
      </x:c>
      <x:c r="D27" s="34" t="n">
        <x:v>45.2</x:v>
      </x:c>
      <x:c r="E27" s="34" t="n">
        <x:v>62.3</x:v>
      </x:c>
      <x:c r="F27" s="34" t="n">
        <x:f>D27-E27</x:f>
        <x:v>-17.099999999999994</x:v>
      </x:c>
      <x:c r="G27" s="34" t="n">
        <x:f>ABS(F27)</x:f>
        <x:v>17.099999999999994</x:v>
      </x:c>
      <x:c r="H27" s="34" t="n">
        <x:f>F27^2</x:f>
        <x:v>292.4099999999998</x:v>
      </x:c>
    </x:row>
    <x:row r="28">
      <x:c r="A28" t="str">
        <x:v>Mar-2019</x:v>
      </x:c>
      <x:c r="B28" t="str">
        <x:v>Deuda Pública (% PIB)</x:v>
      </x:c>
      <x:c r="C28" s="33" t="n">
        <x:v>2022</x:v>
      </x:c>
      <x:c r="D28" s="34" t="n">
        <x:v>40.8</x:v>
      </x:c>
      <x:c r="E28" s="34" t="n">
        <x:v>57</x:v>
      </x:c>
      <x:c r="F28" s="34" t="n">
        <x:f>D28-E28</x:f>
        <x:v>-16.200000000000003</x:v>
      </x:c>
      <x:c r="G28" s="34" t="n">
        <x:f>ABS(F28)</x:f>
        <x:v>16.200000000000003</x:v>
      </x:c>
      <x:c r="H28" s="34" t="n">
        <x:f>F28^2</x:f>
        <x:v>262.4400000000001</x:v>
      </x:c>
    </x:row>
    <x:row r="29">
      <x:c r="A29" t="str">
        <x:v>Mar-2019</x:v>
      </x:c>
      <x:c r="B29" t="str">
        <x:v>Deuda Pública (% PIB)</x:v>
      </x:c>
      <x:c r="C29" s="33" t="n">
        <x:v>2023</x:v>
      </x:c>
      <x:c r="D29" s="34" t="n">
        <x:v>36.6</x:v>
      </x:c>
      <x:c r="E29" s="34" t="n">
        <x:v>54.5</x:v>
      </x:c>
      <x:c r="F29" s="34" t="n">
        <x:f>D29-E29</x:f>
        <x:v>-17.9</x:v>
      </x:c>
      <x:c r="G29" s="34" t="n">
        <x:f>ABS(F29)</x:f>
        <x:v>17.9</x:v>
      </x:c>
      <x:c r="H29" s="34" t="n">
        <x:f>F29^2</x:f>
        <x:v>320.40999999999997</x:v>
      </x:c>
    </x:row>
    <x:row r="30">
      <x:c r="A30" t="str">
        <x:v>Mar-2019</x:v>
      </x:c>
      <x:c r="B30" t="str">
        <x:v>Precio Petróleo Ecuador (USD/bbl)</x:v>
      </x:c>
      <x:c r="C30" s="33" t="n">
        <x:v>2019</x:v>
      </x:c>
      <x:c r="D30" s="34" t="n">
        <x:v>47.8</x:v>
      </x:c>
      <x:c r="E30" s="34" t="n">
        <x:v>55.1</x:v>
      </x:c>
      <x:c r="F30" s="34" t="n">
        <x:f>D30-E30</x:f>
        <x:v>-7.300000000000004</x:v>
      </x:c>
      <x:c r="G30" s="34" t="n">
        <x:f>ABS(F30)</x:f>
        <x:v>7.300000000000004</x:v>
      </x:c>
      <x:c r="H30" s="34" t="n">
        <x:f>F30^2</x:f>
        <x:v>53.29000000000006</x:v>
      </x:c>
    </x:row>
    <x:row r="31">
      <x:c r="A31" t="str">
        <x:v>Mar-2019</x:v>
      </x:c>
      <x:c r="B31" t="str">
        <x:v>Precio Petróleo Ecuador (USD/bbl)</x:v>
      </x:c>
      <x:c r="C31" s="33" t="n">
        <x:v>2020</x:v>
      </x:c>
      <x:c r="D31" s="34" t="n">
        <x:v>48.7</x:v>
      </x:c>
      <x:c r="E31" s="34" t="n">
        <x:v>35.6</x:v>
      </x:c>
      <x:c r="F31" s="34" t="n">
        <x:f>D31-E31</x:f>
        <x:v>13.100000000000001</x:v>
      </x:c>
      <x:c r="G31" s="34" t="n">
        <x:f>ABS(F31)</x:f>
        <x:v>13.100000000000001</x:v>
      </x:c>
      <x:c r="H31" s="34" t="n">
        <x:f>F31^2</x:f>
        <x:v>171.61000000000004</x:v>
      </x:c>
    </x:row>
    <x:row r="32">
      <x:c r="A32" t="str">
        <x:v>Mar-2019</x:v>
      </x:c>
      <x:c r="B32" t="str">
        <x:v>Precio Petróleo Ecuador (USD/bbl)</x:v>
      </x:c>
      <x:c r="C32" s="33" t="n">
        <x:v>2021</x:v>
      </x:c>
      <x:c r="D32" s="34" t="n">
        <x:v>49.4</x:v>
      </x:c>
      <x:c r="E32" s="34" t="n">
        <x:v>62</x:v>
      </x:c>
      <x:c r="F32" s="34" t="n">
        <x:f>D32-E32</x:f>
        <x:v>-12.600000000000001</x:v>
      </x:c>
      <x:c r="G32" s="34" t="n">
        <x:f>ABS(F32)</x:f>
        <x:v>12.600000000000001</x:v>
      </x:c>
      <x:c r="H32" s="34" t="n">
        <x:f>F32^2</x:f>
        <x:v>158.76000000000005</x:v>
      </x:c>
    </x:row>
    <x:row r="33">
      <x:c r="A33" t="str">
        <x:v>Mar-2019</x:v>
      </x:c>
      <x:c r="B33" t="str">
        <x:v>Precio Petróleo Ecuador (USD/bbl)</x:v>
      </x:c>
      <x:c r="C33" s="33" t="n">
        <x:v>2022</x:v>
      </x:c>
      <x:c r="D33" s="34" t="n">
        <x:v>50</x:v>
      </x:c>
      <x:c r="E33" s="34" t="n">
        <x:v>85.8</x:v>
      </x:c>
      <x:c r="F33" s="34" t="n">
        <x:f>D33-E33</x:f>
        <x:v>-35.8</x:v>
      </x:c>
      <x:c r="G33" s="34" t="n">
        <x:f>ABS(F33)</x:f>
        <x:v>35.8</x:v>
      </x:c>
      <x:c r="H33" s="34" t="n">
        <x:f>F33^2</x:f>
        <x:v>1281.6399999999999</x:v>
      </x:c>
    </x:row>
    <x:row r="34">
      <x:c r="A34" t="str">
        <x:v>Mar-2019</x:v>
      </x:c>
      <x:c r="B34" t="str">
        <x:v>Precio Petróleo Ecuador (USD/bbl)</x:v>
      </x:c>
      <x:c r="C34" s="33" t="n">
        <x:v>2023</x:v>
      </x:c>
      <x:c r="D34" s="34" t="n">
        <x:v>50.7</x:v>
      </x:c>
      <x:c r="E34" s="34" t="n">
        <x:v>68</x:v>
      </x:c>
      <x:c r="F34" s="34" t="n">
        <x:f>D34-E34</x:f>
        <x:v>-17.299999999999997</x:v>
      </x:c>
      <x:c r="G34" s="34" t="n">
        <x:f>ABS(F34)</x:f>
        <x:v>17.299999999999997</x:v>
      </x:c>
      <x:c r="H34" s="34" t="n">
        <x:f>F34^2</x:f>
        <x:v>299.2899999999999</x:v>
      </x:c>
    </x:row>
    <x:row r="35">
      <x:c r="A35" t="str">
        <x:v>Mar-2019</x:v>
      </x:c>
      <x:c r="B35" t="str">
        <x:v>PIB Nominal (USD mn)</x:v>
      </x:c>
      <x:c r="C35" s="33" t="n">
        <x:v>2019</x:v>
      </x:c>
      <x:c r="D35" s="34" t="n">
        <x:v>106289</x:v>
      </x:c>
      <x:c r="E35" s="34" t="n">
        <x:v>108108</x:v>
      </x:c>
      <x:c r="F35" s="34" t="n">
        <x:f>D35-E35</x:f>
        <x:v>-1819</x:v>
      </x:c>
      <x:c r="G35" s="34" t="n">
        <x:f>ABS(F35)</x:f>
        <x:v>1819</x:v>
      </x:c>
      <x:c r="H35" s="34" t="n">
        <x:f>F35^2</x:f>
        <x:v>3308761</x:v>
      </x:c>
    </x:row>
    <x:row r="36">
      <x:c r="A36" t="str">
        <x:v>Mar-2019</x:v>
      </x:c>
      <x:c r="B36" t="str">
        <x:v>PIB Nominal (USD mn)</x:v>
      </x:c>
      <x:c r="C36" s="33" t="n">
        <x:v>2020</x:v>
      </x:c>
      <x:c r="D36" s="34" t="n">
        <x:v>107730</x:v>
      </x:c>
      <x:c r="E36" s="34" t="n">
        <x:v>99291</x:v>
      </x:c>
      <x:c r="F36" s="34" t="n">
        <x:f>D36-E36</x:f>
        <x:v>8439</x:v>
      </x:c>
      <x:c r="G36" s="34" t="n">
        <x:f>ABS(F36)</x:f>
        <x:v>8439</x:v>
      </x:c>
      <x:c r="H36" s="34" t="n">
        <x:f>F36^2</x:f>
        <x:v>71216721</x:v>
      </x:c>
    </x:row>
    <x:row r="37">
      <x:c r="A37" t="str">
        <x:v>Mar-2019</x:v>
      </x:c>
      <x:c r="B37" t="str">
        <x:v>PIB Nominal (USD mn)</x:v>
      </x:c>
      <x:c r="C37" s="33" t="n">
        <x:v>2021</x:v>
      </x:c>
      <x:c r="D37" s="34" t="n">
        <x:v>110571</x:v>
      </x:c>
      <x:c r="E37" s="34" t="n">
        <x:v>106166</x:v>
      </x:c>
      <x:c r="F37" s="34" t="n">
        <x:f>D37-E37</x:f>
        <x:v>4405</x:v>
      </x:c>
      <x:c r="G37" s="34" t="n">
        <x:f>ABS(F37)</x:f>
        <x:v>4405</x:v>
      </x:c>
      <x:c r="H37" s="34" t="n">
        <x:f>F37^2</x:f>
        <x:v>19404025</x:v>
      </x:c>
    </x:row>
    <x:row r="38">
      <x:c r="A38" t="str">
        <x:v>Mar-2019</x:v>
      </x:c>
      <x:c r="B38" t="str">
        <x:v>PIB Nominal (USD mn)</x:v>
      </x:c>
      <x:c r="C38" s="33" t="n">
        <x:v>2022</x:v>
      </x:c>
      <x:c r="D38" s="34" t="n">
        <x:v>114783</x:v>
      </x:c>
      <x:c r="E38" s="34" t="n">
        <x:v>116586</x:v>
      </x:c>
      <x:c r="F38" s="34" t="n">
        <x:f>D38-E38</x:f>
        <x:v>-1803</x:v>
      </x:c>
      <x:c r="G38" s="34" t="n">
        <x:f>ABS(F38)</x:f>
        <x:v>1803</x:v>
      </x:c>
      <x:c r="H38" s="34" t="n">
        <x:f>F38^2</x:f>
        <x:v>3250809</x:v>
      </x:c>
    </x:row>
    <x:row r="39">
      <x:c r="A39" t="str">
        <x:v>Mar-2019</x:v>
      </x:c>
      <x:c r="B39" t="str">
        <x:v>PIB Nominal (USD mn)</x:v>
      </x:c>
      <x:c r="C39" s="33" t="n">
        <x:v>2023</x:v>
      </x:c>
      <x:c r="D39" s="34" t="n">
        <x:v>118502</x:v>
      </x:c>
      <x:c r="E39" s="34" t="n">
        <x:v>120793</x:v>
      </x:c>
      <x:c r="F39" s="34" t="n">
        <x:f>D39-E39</x:f>
        <x:v>-2291</x:v>
      </x:c>
      <x:c r="G39" s="34" t="n">
        <x:f>ABS(F39)</x:f>
        <x:v>2291</x:v>
      </x:c>
      <x:c r="H39" s="34" t="n">
        <x:f>F39^2</x:f>
        <x:v>5248681</x:v>
      </x:c>
    </x:row>
    <x:row r="40">
      <x:c r="A40" t="str">
        <x:v>Mar-2019</x:v>
      </x:c>
      <x:c r="B40" t="str">
        <x:v>Reservas Internacionales (USD mn)</x:v>
      </x:c>
      <x:c r="C40" s="33" t="n">
        <x:v>2019</x:v>
      </x:c>
      <x:c r="D40" s="34" t="n">
        <x:v>4999</x:v>
      </x:c>
      <x:c r="E40" s="34" t="n">
        <x:v>2933</x:v>
      </x:c>
      <x:c r="F40" s="34" t="n">
        <x:f>D40-E40</x:f>
        <x:v>2066</x:v>
      </x:c>
      <x:c r="G40" s="34" t="n">
        <x:f>ABS(F40)</x:f>
        <x:v>2066</x:v>
      </x:c>
      <x:c r="H40" s="34" t="n">
        <x:f>F40^2</x:f>
        <x:v>4268356</x:v>
      </x:c>
    </x:row>
    <x:row r="41">
      <x:c r="A41" t="str">
        <x:v>Mar-2019</x:v>
      </x:c>
      <x:c r="B41" t="str">
        <x:v>Reservas Internacionales (USD mn)</x:v>
      </x:c>
      <x:c r="C41" s="33" t="n">
        <x:v>2020</x:v>
      </x:c>
      <x:c r="D41" s="34" t="n">
        <x:v>7761</x:v>
      </x:c>
      <x:c r="E41" s="34" t="n">
        <x:v>7133</x:v>
      </x:c>
      <x:c r="F41" s="34" t="n">
        <x:f>D41-E41</x:f>
        <x:v>628</x:v>
      </x:c>
      <x:c r="G41" s="34" t="n">
        <x:f>ABS(F41)</x:f>
        <x:v>628</x:v>
      </x:c>
      <x:c r="H41" s="34" t="n">
        <x:f>F41^2</x:f>
        <x:v>394384</x:v>
      </x:c>
    </x:row>
    <x:row r="42">
      <x:c r="A42" t="str">
        <x:v>Mar-2019</x:v>
      </x:c>
      <x:c r="B42" t="str">
        <x:v>Reservas Internacionales (USD mn)</x:v>
      </x:c>
      <x:c r="C42" s="33" t="n">
        <x:v>2021</x:v>
      </x:c>
      <x:c r="D42" s="34" t="n">
        <x:v>11397</x:v>
      </x:c>
      <x:c r="E42" s="34" t="n">
        <x:v>7898</x:v>
      </x:c>
      <x:c r="F42" s="34" t="n">
        <x:f>D42-E42</x:f>
        <x:v>3499</x:v>
      </x:c>
      <x:c r="G42" s="34" t="n">
        <x:f>ABS(F42)</x:f>
        <x:v>3499</x:v>
      </x:c>
      <x:c r="H42" s="34" t="n">
        <x:f>F42^2</x:f>
        <x:v>12243001</x:v>
      </x:c>
    </x:row>
    <x:row r="43">
      <x:c r="A43" t="str">
        <x:v>Mar-2019</x:v>
      </x:c>
      <x:c r="B43" t="str">
        <x:v>Reservas Internacionales (USD mn)</x:v>
      </x:c>
      <x:c r="C43" s="33" t="n">
        <x:v>2022</x:v>
      </x:c>
      <x:c r="D43" s="34" t="n">
        <x:v>11845</x:v>
      </x:c>
      <x:c r="E43" s="34" t="n">
        <x:v>8459</x:v>
      </x:c>
      <x:c r="F43" s="34" t="n">
        <x:f>D43-E43</x:f>
        <x:v>3386</x:v>
      </x:c>
      <x:c r="G43" s="34" t="n">
        <x:f>ABS(F43)</x:f>
        <x:v>3386</x:v>
      </x:c>
      <x:c r="H43" s="34" t="n">
        <x:f>F43^2</x:f>
        <x:v>11464996</x:v>
      </x:c>
    </x:row>
    <x:row r="44">
      <x:c r="A44" t="str">
        <x:v>Mar-2019</x:v>
      </x:c>
      <x:c r="B44" t="str">
        <x:v>Reservas Internacionales (USD mn)</x:v>
      </x:c>
      <x:c r="C44" s="33" t="n">
        <x:v>2023</x:v>
      </x:c>
      <x:c r="D44" s="34" t="n">
        <x:v>12944</x:v>
      </x:c>
      <x:c r="E44" s="34" t="n">
        <x:v>4455</x:v>
      </x:c>
      <x:c r="F44" s="34" t="n">
        <x:f>D44-E44</x:f>
        <x:v>8489</x:v>
      </x:c>
      <x:c r="G44" s="34" t="n">
        <x:f>ABS(F44)</x:f>
        <x:v>8489</x:v>
      </x:c>
      <x:c r="H44" s="34" t="n">
        <x:f>F44^2</x:f>
        <x:v>72063121</x:v>
      </x:c>
    </x:row>
    <x:row r="45">
      <x:c r="A45" t="str">
        <x:v>Dic-2020</x:v>
      </x:c>
      <x:c r="B45" t="str">
        <x:v>Real GDP (%)</x:v>
      </x:c>
      <x:c r="C45" s="33" t="n">
        <x:v>2020</x:v>
      </x:c>
      <x:c r="D45" s="34" t="n">
        <x:v>-9.5</x:v>
      </x:c>
      <x:c r="E45" s="34" t="n">
        <x:v>-7.8</x:v>
      </x:c>
      <x:c r="F45" s="34" t="n">
        <x:f>D45-E45</x:f>
        <x:v>-1.7000000000000002</x:v>
      </x:c>
      <x:c r="G45" s="34" t="n">
        <x:f>ABS(F45)</x:f>
        <x:v>1.7000000000000002</x:v>
      </x:c>
      <x:c r="H45" s="34" t="n">
        <x:f>F45^2</x:f>
        <x:v>2.8900000000000006</x:v>
      </x:c>
    </x:row>
    <x:row r="46">
      <x:c r="A46" t="str">
        <x:v>Dic-2020</x:v>
      </x:c>
      <x:c r="B46" t="str">
        <x:v>Real GDP (%)</x:v>
      </x:c>
      <x:c r="C46" s="33" t="n">
        <x:v>2021</x:v>
      </x:c>
      <x:c r="D46" s="34" t="n">
        <x:v>3.5</x:v>
      </x:c>
      <x:c r="E46" s="34" t="n">
        <x:v>4.2</x:v>
      </x:c>
      <x:c r="F46" s="34" t="n">
        <x:f>D46-E46</x:f>
        <x:v>-0.7000000000000002</x:v>
      </x:c>
      <x:c r="G46" s="34" t="n">
        <x:f>ABS(F46)</x:f>
        <x:v>0.7000000000000002</x:v>
      </x:c>
      <x:c r="H46" s="34" t="n">
        <x:f>F46^2</x:f>
        <x:v>0.49000000000000027</x:v>
      </x:c>
    </x:row>
    <x:row r="47">
      <x:c r="A47" t="str">
        <x:v>Dic-2020</x:v>
      </x:c>
      <x:c r="B47" t="str">
        <x:v>Real GDP (%)</x:v>
      </x:c>
      <x:c r="C47" s="33" t="n">
        <x:v>2022</x:v>
      </x:c>
      <x:c r="D47" s="34" t="n">
        <x:v>1.3</x:v>
      </x:c>
      <x:c r="E47" s="34" t="n">
        <x:v>6.2</x:v>
      </x:c>
      <x:c r="F47" s="34" t="n">
        <x:f>D47-E47</x:f>
        <x:v>-4.9</x:v>
      </x:c>
      <x:c r="G47" s="34" t="n">
        <x:f>ABS(F47)</x:f>
        <x:v>4.9</x:v>
      </x:c>
      <x:c r="H47" s="34" t="n">
        <x:f>F47^2</x:f>
        <x:v>24.010000000000005</x:v>
      </x:c>
    </x:row>
    <x:row r="48">
      <x:c r="A48" t="str">
        <x:v>Dic-2020</x:v>
      </x:c>
      <x:c r="B48" t="str">
        <x:v>Real GDP (%)</x:v>
      </x:c>
      <x:c r="C48" s="33" t="n">
        <x:v>2023</x:v>
      </x:c>
      <x:c r="D48" s="34" t="n">
        <x:v>1.7</x:v>
      </x:c>
      <x:c r="E48" s="34" t="n">
        <x:v>1.8</x:v>
      </x:c>
      <x:c r="F48" s="34" t="n">
        <x:f>D48-E48</x:f>
        <x:v>-0.10000000000000009</x:v>
      </x:c>
      <x:c r="G48" s="34" t="n">
        <x:f>ABS(F48)</x:f>
        <x:v>0.10000000000000009</x:v>
      </x:c>
      <x:c r="H48" s="34" t="n">
        <x:f>F48^2</x:f>
        <x:v>0.010000000000000018</x:v>
      </x:c>
    </x:row>
    <x:row r="49">
      <x:c r="A49" t="str">
        <x:v>Dic-2020</x:v>
      </x:c>
      <x:c r="B49" t="str">
        <x:v>Real GDP (%)</x:v>
      </x:c>
      <x:c r="C49" s="33" t="n">
        <x:v>2024</x:v>
      </x:c>
      <x:c r="D49" s="34" t="n">
        <x:v>2</x:v>
      </x:c>
      <x:c r="E49" s="34" t="n">
        <x:v>-1.9</x:v>
      </x:c>
      <x:c r="F49" s="34" t="n">
        <x:f>D49-E49</x:f>
        <x:v>3.9</x:v>
      </x:c>
      <x:c r="G49" s="34" t="n">
        <x:f>ABS(F49)</x:f>
        <x:v>3.9</x:v>
      </x:c>
      <x:c r="H49" s="34" t="n">
        <x:f>F49^2</x:f>
        <x:v>15.209999999999999</x:v>
      </x:c>
    </x:row>
    <x:row r="50">
      <x:c r="A50" t="str">
        <x:v>Dic-2020</x:v>
      </x:c>
      <x:c r="B50" t="str">
        <x:v>Real GDP (%)</x:v>
      </x:c>
      <x:c r="C50" s="33" t="n">
        <x:v>2025</x:v>
      </x:c>
      <x:c r="D50" s="34" t="n">
        <x:v>2.3</x:v>
      </x:c>
      <x:c r="E50" s="34" t="n">
        <x:v>3.7</x:v>
      </x:c>
      <x:c r="F50" s="34" t="n">
        <x:f>D50-E50</x:f>
        <x:v>-1.4000000000000004</x:v>
      </x:c>
      <x:c r="G50" s="34" t="n">
        <x:f>ABS(F50)</x:f>
        <x:v>1.4000000000000004</x:v>
      </x:c>
      <x:c r="H50" s="34" t="n">
        <x:f>F50^2</x:f>
        <x:v>1.960000000000001</x:v>
      </x:c>
    </x:row>
    <x:row r="51">
      <x:c r="A51" t="str">
        <x:v>Dic-2020</x:v>
      </x:c>
      <x:c r="B51" t="str">
        <x:v>Inflación promedio (%)</x:v>
      </x:c>
      <x:c r="C51" s="33" t="n">
        <x:v>2020</x:v>
      </x:c>
      <x:c r="D51" s="34" t="n">
        <x:v>-0.3</x:v>
      </x:c>
      <x:c r="E51" s="34" t="n">
        <x:v>-0.3</x:v>
      </x:c>
      <x:c r="F51" s="34" t="n">
        <x:f>D51-E51</x:f>
        <x:v>0</x:v>
      </x:c>
      <x:c r="G51" s="34" t="n">
        <x:f>ABS(F51)</x:f>
        <x:v>0</x:v>
      </x:c>
      <x:c r="H51" s="34" t="n">
        <x:f>F51^2</x:f>
        <x:v>0</x:v>
      </x:c>
    </x:row>
    <x:row r="52">
      <x:c r="A52" t="str">
        <x:v>Dic-2020</x:v>
      </x:c>
      <x:c r="B52" t="str">
        <x:v>Inflación promedio (%)</x:v>
      </x:c>
      <x:c r="C52" s="33" t="n">
        <x:v>2021</x:v>
      </x:c>
      <x:c r="D52" s="34" t="n">
        <x:v>1</x:v>
      </x:c>
      <x:c r="E52" s="34" t="n">
        <x:v>0.1</x:v>
      </x:c>
      <x:c r="F52" s="34" t="n">
        <x:f>D52-E52</x:f>
        <x:v>0.9</x:v>
      </x:c>
      <x:c r="G52" s="34" t="n">
        <x:f>ABS(F52)</x:f>
        <x:v>0.9</x:v>
      </x:c>
      <x:c r="H52" s="34" t="n">
        <x:f>F52^2</x:f>
        <x:v>0.81</x:v>
      </x:c>
    </x:row>
    <x:row r="53">
      <x:c r="A53" t="str">
        <x:v>Dic-2020</x:v>
      </x:c>
      <x:c r="B53" t="str">
        <x:v>Inflación promedio (%)</x:v>
      </x:c>
      <x:c r="C53" s="33" t="n">
        <x:v>2022</x:v>
      </x:c>
      <x:c r="D53" s="34" t="n">
        <x:v>2.4</x:v>
      </x:c>
      <x:c r="E53" s="34" t="n">
        <x:v>3.5</x:v>
      </x:c>
      <x:c r="F53" s="34" t="n">
        <x:f>D53-E53</x:f>
        <x:v>-1.1</x:v>
      </x:c>
      <x:c r="G53" s="34" t="n">
        <x:f>ABS(F53)</x:f>
        <x:v>1.1</x:v>
      </x:c>
      <x:c r="H53" s="34" t="n">
        <x:f>F53^2</x:f>
        <x:v>1.2100000000000002</x:v>
      </x:c>
    </x:row>
    <x:row r="54">
      <x:c r="A54" t="str">
        <x:v>Dic-2020</x:v>
      </x:c>
      <x:c r="B54" t="str">
        <x:v>Inflación promedio (%)</x:v>
      </x:c>
      <x:c r="C54" s="33" t="n">
        <x:v>2023</x:v>
      </x:c>
      <x:c r="D54" s="34" t="n">
        <x:v>1.4</x:v>
      </x:c>
      <x:c r="E54" s="34" t="n">
        <x:v>2.2</x:v>
      </x:c>
      <x:c r="F54" s="34" t="n">
        <x:f>D54-E54</x:f>
        <x:v>-0.8000000000000003</x:v>
      </x:c>
      <x:c r="G54" s="34" t="n">
        <x:f>ABS(F54)</x:f>
        <x:v>0.8000000000000003</x:v>
      </x:c>
      <x:c r="H54" s="34" t="n">
        <x:f>F54^2</x:f>
        <x:v>0.6400000000000005</x:v>
      </x:c>
    </x:row>
    <x:row r="55">
      <x:c r="A55" t="str">
        <x:v>Dic-2020</x:v>
      </x:c>
      <x:c r="B55" t="str">
        <x:v>Inflación promedio (%)</x:v>
      </x:c>
      <x:c r="C55" s="33" t="n">
        <x:v>2024</x:v>
      </x:c>
      <x:c r="D55" s="34" t="n">
        <x:v>1</x:v>
      </x:c>
      <x:c r="E55" s="34" t="n">
        <x:v>1.5</x:v>
      </x:c>
      <x:c r="F55" s="34" t="n">
        <x:f>D55-E55</x:f>
        <x:v>-0.5</x:v>
      </x:c>
      <x:c r="G55" s="34" t="n">
        <x:f>ABS(F55)</x:f>
        <x:v>0.5</x:v>
      </x:c>
      <x:c r="H55" s="34" t="n">
        <x:f>F55^2</x:f>
        <x:v>0.25</x:v>
      </x:c>
    </x:row>
    <x:row r="56">
      <x:c r="A56" t="str">
        <x:v>Dic-2020</x:v>
      </x:c>
      <x:c r="B56" t="str">
        <x:v>Inflación promedio (%)</x:v>
      </x:c>
      <x:c r="C56" s="33" t="n">
        <x:v>2025</x:v>
      </x:c>
      <x:c r="D56" s="34" t="n">
        <x:v>1</x:v>
      </x:c>
      <x:c r="E56" s="34" t="n">
        <x:v>0.7</x:v>
      </x:c>
      <x:c r="F56" s="34" t="n">
        <x:f>D56-E56</x:f>
        <x:v>0.30000000000000004</x:v>
      </x:c>
      <x:c r="G56" s="34" t="n">
        <x:f>ABS(F56)</x:f>
        <x:v>0.30000000000000004</x:v>
      </x:c>
      <x:c r="H56" s="34" t="n">
        <x:f>F56^2</x:f>
        <x:v>0.09000000000000002</x:v>
      </x:c>
    </x:row>
    <x:row r="57">
      <x:c r="A57" t="str">
        <x:v>Dic-2020</x:v>
      </x:c>
      <x:c r="B57" t="str">
        <x:v>Cuenta Corriente (% PIB)</x:v>
      </x:c>
      <x:c r="C57" s="33" t="n">
        <x:v>2020</x:v>
      </x:c>
      <x:c r="D57" s="34" t="n">
        <x:v>-0.6</x:v>
      </x:c>
      <x:c r="E57" s="34" t="n">
        <x:v>2.7</x:v>
      </x:c>
      <x:c r="F57" s="34" t="n">
        <x:f>D57-E57</x:f>
        <x:v>-3.3000000000000003</x:v>
      </x:c>
      <x:c r="G57" s="34" t="n">
        <x:f>ABS(F57)</x:f>
        <x:v>3.3000000000000003</x:v>
      </x:c>
      <x:c r="H57" s="34" t="n">
        <x:f>F57^2</x:f>
        <x:v>10.890000000000002</x:v>
      </x:c>
    </x:row>
    <x:row r="58">
      <x:c r="A58" t="str">
        <x:v>Dic-2020</x:v>
      </x:c>
      <x:c r="B58" t="str">
        <x:v>Cuenta Corriente (% PIB)</x:v>
      </x:c>
      <x:c r="C58" s="33" t="n">
        <x:v>2021</x:v>
      </x:c>
      <x:c r="D58" s="34" t="n">
        <x:v>1</x:v>
      </x:c>
      <x:c r="E58" s="34" t="n">
        <x:v>2.9</x:v>
      </x:c>
      <x:c r="F58" s="34" t="n">
        <x:f>D58-E58</x:f>
        <x:v>-1.9</x:v>
      </x:c>
      <x:c r="G58" s="34" t="n">
        <x:f>ABS(F58)</x:f>
        <x:v>1.9</x:v>
      </x:c>
      <x:c r="H58" s="34" t="n">
        <x:f>F58^2</x:f>
        <x:v>3.61</x:v>
      </x:c>
    </x:row>
    <x:row r="59">
      <x:c r="A59" t="str">
        <x:v>Dic-2020</x:v>
      </x:c>
      <x:c r="B59" t="str">
        <x:v>Cuenta Corriente (% PIB)</x:v>
      </x:c>
      <x:c r="C59" s="33" t="n">
        <x:v>2022</x:v>
      </x:c>
      <x:c r="D59" s="34" t="n">
        <x:v>1.6</x:v>
      </x:c>
      <x:c r="E59" s="34" t="n">
        <x:v>1.8</x:v>
      </x:c>
      <x:c r="F59" s="34" t="n">
        <x:f>D59-E59</x:f>
        <x:v>-0.19999999999999996</x:v>
      </x:c>
      <x:c r="G59" s="34" t="n">
        <x:f>ABS(F59)</x:f>
        <x:v>0.19999999999999996</x:v>
      </x:c>
      <x:c r="H59" s="34" t="n">
        <x:f>F59^2</x:f>
        <x:v>0.03999999999999998</x:v>
      </x:c>
    </x:row>
    <x:row r="60">
      <x:c r="A60" t="str">
        <x:v>Dic-2020</x:v>
      </x:c>
      <x:c r="B60" t="str">
        <x:v>Cuenta Corriente (% PIB)</x:v>
      </x:c>
      <x:c r="C60" s="33" t="n">
        <x:v>2023</x:v>
      </x:c>
      <x:c r="D60" s="34" t="n">
        <x:v>2</x:v>
      </x:c>
      <x:c r="E60" s="34" t="n">
        <x:v>2</x:v>
      </x:c>
      <x:c r="F60" s="34" t="n">
        <x:f>D60-E60</x:f>
        <x:v>0</x:v>
      </x:c>
      <x:c r="G60" s="34" t="n">
        <x:f>ABS(F60)</x:f>
        <x:v>0</x:v>
      </x:c>
      <x:c r="H60" s="34" t="n">
        <x:f>F60^2</x:f>
        <x:v>0</x:v>
      </x:c>
    </x:row>
    <x:row r="61">
      <x:c r="A61" t="str">
        <x:v>Dic-2020</x:v>
      </x:c>
      <x:c r="B61" t="str">
        <x:v>Cuenta Corriente (% PIB)</x:v>
      </x:c>
      <x:c r="C61" s="33" t="n">
        <x:v>2024</x:v>
      </x:c>
      <x:c r="D61" s="34" t="n">
        <x:v>2.1</x:v>
      </x:c>
      <x:c r="E61" s="34" t="n">
        <x:v>5.7</x:v>
      </x:c>
      <x:c r="F61" s="34" t="n">
        <x:f>D61-E61</x:f>
        <x:v>-3.6</x:v>
      </x:c>
      <x:c r="G61" s="34" t="n">
        <x:f>ABS(F61)</x:f>
        <x:v>3.6</x:v>
      </x:c>
      <x:c r="H61" s="34" t="n">
        <x:f>F61^2</x:f>
        <x:v>12.96</x:v>
      </x:c>
    </x:row>
    <x:row r="62">
      <x:c r="A62" t="str">
        <x:v>Dic-2020</x:v>
      </x:c>
      <x:c r="B62" t="str">
        <x:v>Cuenta Corriente (% PIB)</x:v>
      </x:c>
      <x:c r="C62" s="33" t="n">
        <x:v>2025</x:v>
      </x:c>
      <x:c r="D62" s="34" t="n">
        <x:v>2</x:v>
      </x:c>
      <x:c r="E62" s="34" t="n">
        <x:v>5.8</x:v>
      </x:c>
      <x:c r="F62" s="34" t="n">
        <x:f>D62-E62</x:f>
        <x:v>-3.8</x:v>
      </x:c>
      <x:c r="G62" s="34" t="n">
        <x:f>ABS(F62)</x:f>
        <x:v>3.8</x:v>
      </x:c>
      <x:c r="H62" s="34" t="n">
        <x:f>F62^2</x:f>
        <x:v>14.44</x:v>
      </x:c>
    </x:row>
    <x:row r="63">
      <x:c r="A63" t="str">
        <x:v>Dic-2020</x:v>
      </x:c>
      <x:c r="B63" t="str">
        <x:v>Balance Fiscal NFPS (% PIB)</x:v>
      </x:c>
      <x:c r="C63" s="33" t="n">
        <x:v>2020</x:v>
      </x:c>
      <x:c r="D63" s="34" t="n">
        <x:v>-7.8</x:v>
      </x:c>
      <x:c r="E63" s="34" t="n">
        <x:v>-7.1</x:v>
      </x:c>
      <x:c r="F63" s="34" t="n">
        <x:f>D63-E63</x:f>
        <x:v>-0.7000000000000002</x:v>
      </x:c>
      <x:c r="G63" s="34" t="n">
        <x:f>ABS(F63)</x:f>
        <x:v>0.7000000000000002</x:v>
      </x:c>
      <x:c r="H63" s="34" t="n">
        <x:f>F63^2</x:f>
        <x:v>0.49000000000000027</x:v>
      </x:c>
    </x:row>
    <x:row r="64">
      <x:c r="A64" t="str">
        <x:v>Dic-2020</x:v>
      </x:c>
      <x:c r="B64" t="str">
        <x:v>Balance Fiscal NFPS (% PIB)</x:v>
      </x:c>
      <x:c r="C64" s="33" t="n">
        <x:v>2021</x:v>
      </x:c>
      <x:c r="D64" s="34" t="n">
        <x:v>-2.8</x:v>
      </x:c>
      <x:c r="E64" s="34" t="n">
        <x:v>-1.6</x:v>
      </x:c>
      <x:c r="F64" s="34" t="n">
        <x:f>D64-E64</x:f>
        <x:v>-1.1999999999999997</x:v>
      </x:c>
      <x:c r="G64" s="34" t="n">
        <x:f>ABS(F64)</x:f>
        <x:v>1.1999999999999997</x:v>
      </x:c>
      <x:c r="H64" s="34" t="n">
        <x:f>F64^2</x:f>
        <x:v>1.4399999999999993</x:v>
      </x:c>
    </x:row>
    <x:row r="65">
      <x:c r="A65" t="str">
        <x:v>Dic-2020</x:v>
      </x:c>
      <x:c r="B65" t="str">
        <x:v>Balance Fiscal NFPS (% PIB)</x:v>
      </x:c>
      <x:c r="C65" s="33" t="n">
        <x:v>2022</x:v>
      </x:c>
      <x:c r="D65" s="34" t="n">
        <x:v>0.6</x:v>
      </x:c>
      <x:c r="E65" s="34" t="n">
        <x:v>0</x:v>
      </x:c>
      <x:c r="F65" s="34" t="n">
        <x:f>D65-E65</x:f>
        <x:v>0.6</x:v>
      </x:c>
      <x:c r="G65" s="34" t="n">
        <x:f>ABS(F65)</x:f>
        <x:v>0.6</x:v>
      </x:c>
      <x:c r="H65" s="34" t="n">
        <x:f>F65^2</x:f>
        <x:v>0.36</x:v>
      </x:c>
    </x:row>
    <x:row r="66">
      <x:c r="A66" t="str">
        <x:v>Dic-2020</x:v>
      </x:c>
      <x:c r="B66" t="str">
        <x:v>Balance Fiscal NFPS (% PIB)</x:v>
      </x:c>
      <x:c r="C66" s="33" t="n">
        <x:v>2023</x:v>
      </x:c>
      <x:c r="D66" s="34" t="n">
        <x:v>1.9</x:v>
      </x:c>
      <x:c r="E66" s="34" t="n">
        <x:v>-3.5</x:v>
      </x:c>
      <x:c r="F66" s="34" t="n">
        <x:f>D66-E66</x:f>
        <x:v>5.4</x:v>
      </x:c>
      <x:c r="G66" s="34" t="n">
        <x:f>ABS(F66)</x:f>
        <x:v>5.4</x:v>
      </x:c>
      <x:c r="H66" s="34" t="n">
        <x:f>F66^2</x:f>
        <x:v>29.160000000000004</x:v>
      </x:c>
    </x:row>
    <x:row r="67">
      <x:c r="A67" t="str">
        <x:v>Dic-2020</x:v>
      </x:c>
      <x:c r="B67" t="str">
        <x:v>Balance Fiscal NFPS (% PIB)</x:v>
      </x:c>
      <x:c r="C67" s="33" t="n">
        <x:v>2024</x:v>
      </x:c>
      <x:c r="D67" s="34" t="n">
        <x:v>2.3</x:v>
      </x:c>
      <x:c r="E67" s="34" t="n">
        <x:v>-1.3</x:v>
      </x:c>
      <x:c r="F67" s="34" t="n">
        <x:f>D67-E67</x:f>
        <x:v>3.5999999999999996</x:v>
      </x:c>
      <x:c r="G67" s="34" t="n">
        <x:f>ABS(F67)</x:f>
        <x:v>3.5999999999999996</x:v>
      </x:c>
      <x:c r="H67" s="34" t="n">
        <x:f>F67^2</x:f>
        <x:v>12.959999999999997</x:v>
      </x:c>
    </x:row>
    <x:row r="68">
      <x:c r="A68" t="str">
        <x:v>Dic-2020</x:v>
      </x:c>
      <x:c r="B68" t="str">
        <x:v>Balance Fiscal NFPS (% PIB)</x:v>
      </x:c>
      <x:c r="C68" s="33" t="n">
        <x:v>2025</x:v>
      </x:c>
      <x:c r="D68" s="34" t="n">
        <x:v>2.2</x:v>
      </x:c>
      <x:c r="E68" s="34" t="n">
        <x:v>-2.9</x:v>
      </x:c>
      <x:c r="F68" s="34" t="n">
        <x:f>D68-E68</x:f>
        <x:v>5.1</x:v>
      </x:c>
      <x:c r="G68" s="34" t="n">
        <x:f>ABS(F68)</x:f>
        <x:v>5.1</x:v>
      </x:c>
      <x:c r="H68" s="34" t="n">
        <x:f>F68^2</x:f>
        <x:v>26.009999999999998</x:v>
      </x:c>
    </x:row>
    <x:row r="69">
      <x:c r="A69" t="str">
        <x:v>Dic-2020</x:v>
      </x:c>
      <x:c r="B69" t="str">
        <x:v>Deuda Pública (% PIB)</x:v>
      </x:c>
      <x:c r="C69" s="33" t="n">
        <x:v>2020</x:v>
      </x:c>
      <x:c r="D69" s="34" t="n">
        <x:v>66.4</x:v>
      </x:c>
      <x:c r="E69" s="34" t="n">
        <x:v>60.9</x:v>
      </x:c>
      <x:c r="F69" s="34" t="n">
        <x:f>D69-E69</x:f>
        <x:v>5.500000000000007</x:v>
      </x:c>
      <x:c r="G69" s="34" t="n">
        <x:f>ABS(F69)</x:f>
        <x:v>5.500000000000007</x:v>
      </x:c>
      <x:c r="H69" s="34" t="n">
        <x:f>F69^2</x:f>
        <x:v>30.250000000000078</x:v>
      </x:c>
    </x:row>
    <x:row r="70">
      <x:c r="A70" t="str">
        <x:v>Dic-2020</x:v>
      </x:c>
      <x:c r="B70" t="str">
        <x:v>Deuda Pública (% PIB)</x:v>
      </x:c>
      <x:c r="C70" s="33" t="n">
        <x:v>2021</x:v>
      </x:c>
      <x:c r="D70" s="34" t="n">
        <x:v>66.2</x:v>
      </x:c>
      <x:c r="E70" s="34" t="n">
        <x:v>62.3</x:v>
      </x:c>
      <x:c r="F70" s="34" t="n">
        <x:f>D70-E70</x:f>
        <x:v>3.9000000000000057</x:v>
      </x:c>
      <x:c r="G70" s="34" t="n">
        <x:f>ABS(F70)</x:f>
        <x:v>3.9000000000000057</x:v>
      </x:c>
      <x:c r="H70" s="34" t="n">
        <x:f>F70^2</x:f>
        <x:v>15.210000000000043</x:v>
      </x:c>
    </x:row>
    <x:row r="71">
      <x:c r="A71" t="str">
        <x:v>Dic-2020</x:v>
      </x:c>
      <x:c r="B71" t="str">
        <x:v>Deuda Pública (% PIB)</x:v>
      </x:c>
      <x:c r="C71" s="33" t="n">
        <x:v>2022</x:v>
      </x:c>
      <x:c r="D71" s="34" t="n">
        <x:v>64.9</x:v>
      </x:c>
      <x:c r="E71" s="34" t="n">
        <x:v>57</x:v>
      </x:c>
      <x:c r="F71" s="34" t="n">
        <x:f>D71-E71</x:f>
        <x:v>7.900000000000006</x:v>
      </x:c>
      <x:c r="G71" s="34" t="n">
        <x:f>ABS(F71)</x:f>
        <x:v>7.900000000000006</x:v>
      </x:c>
      <x:c r="H71" s="34" t="n">
        <x:f>F71^2</x:f>
        <x:v>62.41000000000009</x:v>
      </x:c>
    </x:row>
    <x:row r="72">
      <x:c r="A72" t="str">
        <x:v>Dic-2020</x:v>
      </x:c>
      <x:c r="B72" t="str">
        <x:v>Deuda Pública (% PIB)</x:v>
      </x:c>
      <x:c r="C72" s="33" t="n">
        <x:v>2023</x:v>
      </x:c>
      <x:c r="D72" s="34" t="n">
        <x:v>61.9</x:v>
      </x:c>
      <x:c r="E72" s="34" t="n">
        <x:v>54.5</x:v>
      </x:c>
      <x:c r="F72" s="34" t="n">
        <x:f>D72-E72</x:f>
        <x:v>7.399999999999999</x:v>
      </x:c>
      <x:c r="G72" s="34" t="n">
        <x:f>ABS(F72)</x:f>
        <x:v>7.399999999999999</x:v>
      </x:c>
      <x:c r="H72" s="34" t="n">
        <x:f>F72^2</x:f>
        <x:v>54.75999999999998</x:v>
      </x:c>
    </x:row>
    <x:row r="73">
      <x:c r="A73" t="str">
        <x:v>Dic-2020</x:v>
      </x:c>
      <x:c r="B73" t="str">
        <x:v>Deuda Pública (% PIB)</x:v>
      </x:c>
      <x:c r="C73" s="33" t="n">
        <x:v>2024</x:v>
      </x:c>
      <x:c r="D73" s="34" t="n">
        <x:v>60.1</x:v>
      </x:c>
      <x:c r="E73" s="34" t="n">
        <x:v>54.1</x:v>
      </x:c>
      <x:c r="F73" s="34" t="n">
        <x:f>D73-E73</x:f>
        <x:v>6</x:v>
      </x:c>
      <x:c r="G73" s="34" t="n">
        <x:f>ABS(F73)</x:f>
        <x:v>6</x:v>
      </x:c>
      <x:c r="H73" s="34" t="n">
        <x:f>F73^2</x:f>
        <x:v>36</x:v>
      </x:c>
    </x:row>
    <x:row r="74">
      <x:c r="A74" t="str">
        <x:v>Dic-2020</x:v>
      </x:c>
      <x:c r="B74" t="str">
        <x:v>Deuda Pública (% PIB)</x:v>
      </x:c>
      <x:c r="C74" s="33" t="n">
        <x:v>2025</x:v>
      </x:c>
      <x:c r="D74" s="34" t="n">
        <x:v>56.4</x:v>
      </x:c>
      <x:c r="E74" s="34" t="n">
        <x:v>54.3</x:v>
      </x:c>
      <x:c r="F74" s="34" t="n">
        <x:f>D74-E74</x:f>
        <x:v>2.1000000000000014</x:v>
      </x:c>
      <x:c r="G74" s="34" t="n">
        <x:f>ABS(F74)</x:f>
        <x:v>2.1000000000000014</x:v>
      </x:c>
      <x:c r="H74" s="34" t="n">
        <x:f>F74^2</x:f>
        <x:v>4.410000000000006</x:v>
      </x:c>
    </x:row>
    <x:row r="75">
      <x:c r="A75" t="str">
        <x:v>Dic-2020</x:v>
      </x:c>
      <x:c r="B75" t="str">
        <x:v>Precio Petróleo Ecuador (USD/bbl)</x:v>
      </x:c>
      <x:c r="C75" s="33" t="n">
        <x:v>2020</x:v>
      </x:c>
      <x:c r="D75" s="34" t="n">
        <x:v>34.7</x:v>
      </x:c>
      <x:c r="E75" s="34" t="n">
        <x:v>35.6</x:v>
      </x:c>
      <x:c r="F75" s="34" t="n">
        <x:f>D75-E75</x:f>
        <x:v>-0.8999999999999986</x:v>
      </x:c>
      <x:c r="G75" s="34" t="n">
        <x:f>ABS(F75)</x:f>
        <x:v>0.8999999999999986</x:v>
      </x:c>
      <x:c r="H75" s="34" t="n">
        <x:f>F75^2</x:f>
        <x:v>0.8099999999999974</x:v>
      </x:c>
    </x:row>
    <x:row r="76">
      <x:c r="A76" t="str">
        <x:v>Dic-2020</x:v>
      </x:c>
      <x:c r="B76" t="str">
        <x:v>Precio Petróleo Ecuador (USD/bbl)</x:v>
      </x:c>
      <x:c r="C76" s="33" t="n">
        <x:v>2021</x:v>
      </x:c>
      <x:c r="D76" s="34" t="n">
        <x:v>37.1</x:v>
      </x:c>
      <x:c r="E76" s="34" t="n">
        <x:v>62</x:v>
      </x:c>
      <x:c r="F76" s="34" t="n">
        <x:f>D76-E76</x:f>
        <x:v>-24.9</x:v>
      </x:c>
      <x:c r="G76" s="34" t="n">
        <x:f>ABS(F76)</x:f>
        <x:v>24.9</x:v>
      </x:c>
      <x:c r="H76" s="34" t="n">
        <x:f>F76^2</x:f>
        <x:v>620.0099999999999</x:v>
      </x:c>
    </x:row>
    <x:row r="77">
      <x:c r="A77" t="str">
        <x:v>Dic-2020</x:v>
      </x:c>
      <x:c r="B77" t="str">
        <x:v>Precio Petróleo Ecuador (USD/bbl)</x:v>
      </x:c>
      <x:c r="C77" s="33" t="n">
        <x:v>2022</x:v>
      </x:c>
      <x:c r="D77" s="34" t="n">
        <x:v>38.3</x:v>
      </x:c>
      <x:c r="E77" s="34" t="n">
        <x:v>85.8</x:v>
      </x:c>
      <x:c r="F77" s="34" t="n">
        <x:f>D77-E77</x:f>
        <x:v>-47.5</x:v>
      </x:c>
      <x:c r="G77" s="34" t="n">
        <x:f>ABS(F77)</x:f>
        <x:v>47.5</x:v>
      </x:c>
      <x:c r="H77" s="34" t="n">
        <x:f>F77^2</x:f>
        <x:v>2256.25</x:v>
      </x:c>
    </x:row>
    <x:row r="78">
      <x:c r="A78" t="str">
        <x:v>Dic-2020</x:v>
      </x:c>
      <x:c r="B78" t="str">
        <x:v>Precio Petróleo Ecuador (USD/bbl)</x:v>
      </x:c>
      <x:c r="C78" s="33" t="n">
        <x:v>2023</x:v>
      </x:c>
      <x:c r="D78" s="34" t="n">
        <x:v>39.3</x:v>
      </x:c>
      <x:c r="E78" s="34" t="n">
        <x:v>68</x:v>
      </x:c>
      <x:c r="F78" s="34" t="n">
        <x:f>D78-E78</x:f>
        <x:v>-28.700000000000003</x:v>
      </x:c>
      <x:c r="G78" s="34" t="n">
        <x:f>ABS(F78)</x:f>
        <x:v>28.700000000000003</x:v>
      </x:c>
      <x:c r="H78" s="34" t="n">
        <x:f>F78^2</x:f>
        <x:v>823.6900000000002</x:v>
      </x:c>
    </x:row>
    <x:row r="79">
      <x:c r="A79" t="str">
        <x:v>Dic-2020</x:v>
      </x:c>
      <x:c r="B79" t="str">
        <x:v>Precio Petróleo Ecuador (USD/bbl)</x:v>
      </x:c>
      <x:c r="C79" s="33" t="n">
        <x:v>2024</x:v>
      </x:c>
      <x:c r="D79" s="34" t="n">
        <x:v>40.1</x:v>
      </x:c>
      <x:c r="E79" s="34" t="n">
        <x:v>68.5</x:v>
      </x:c>
      <x:c r="F79" s="34" t="n">
        <x:f>D79-E79</x:f>
        <x:v>-28.4</x:v>
      </x:c>
      <x:c r="G79" s="34" t="n">
        <x:f>ABS(F79)</x:f>
        <x:v>28.4</x:v>
      </x:c>
      <x:c r="H79" s="34" t="n">
        <x:f>F79^2</x:f>
        <x:v>806.56</x:v>
      </x:c>
    </x:row>
    <x:row r="80">
      <x:c r="A80" t="str">
        <x:v>Dic-2020</x:v>
      </x:c>
      <x:c r="B80" t="str">
        <x:v>Precio Petróleo Ecuador (USD/bbl)</x:v>
      </x:c>
      <x:c r="C80" s="33" t="n">
        <x:v>2025</x:v>
      </x:c>
      <x:c r="D80" s="34" t="n">
        <x:v>40.9</x:v>
      </x:c>
      <x:c r="E80" s="34" t="n">
        <x:v>58.6</x:v>
      </x:c>
      <x:c r="F80" s="34" t="n">
        <x:f>D80-E80</x:f>
        <x:v>-17.700000000000003</x:v>
      </x:c>
      <x:c r="G80" s="34" t="n">
        <x:f>ABS(F80)</x:f>
        <x:v>17.700000000000003</x:v>
      </x:c>
      <x:c r="H80" s="34" t="n">
        <x:f>F80^2</x:f>
        <x:v>313.2900000000001</x:v>
      </x:c>
    </x:row>
    <x:row r="81">
      <x:c r="A81" t="str">
        <x:v>Dic-2020</x:v>
      </x:c>
      <x:c r="B81" t="str">
        <x:v>PIB Nominal (USD mn)</x:v>
      </x:c>
      <x:c r="C81" s="33" t="n">
        <x:v>2020</x:v>
      </x:c>
      <x:c r="D81" s="34" t="n">
        <x:v>94297</x:v>
      </x:c>
      <x:c r="E81" s="34" t="n">
        <x:v>99291</x:v>
      </x:c>
      <x:c r="F81" s="34" t="n">
        <x:f>D81-E81</x:f>
        <x:v>-4994</x:v>
      </x:c>
      <x:c r="G81" s="34" t="n">
        <x:f>ABS(F81)</x:f>
        <x:v>4994</x:v>
      </x:c>
      <x:c r="H81" s="34" t="n">
        <x:f>F81^2</x:f>
        <x:v>24940036</x:v>
      </x:c>
    </x:row>
    <x:row r="82">
      <x:c r="A82" t="str">
        <x:v>Dic-2020</x:v>
      </x:c>
      <x:c r="B82" t="str">
        <x:v>PIB Nominal (USD mn)</x:v>
      </x:c>
      <x:c r="C82" s="33" t="n">
        <x:v>2021</x:v>
      </x:c>
      <x:c r="D82" s="34" t="n">
        <x:v>99197</x:v>
      </x:c>
      <x:c r="E82" s="34" t="n">
        <x:v>106166</x:v>
      </x:c>
      <x:c r="F82" s="34" t="n">
        <x:f>D82-E82</x:f>
        <x:v>-6969</x:v>
      </x:c>
      <x:c r="G82" s="34" t="n">
        <x:f>ABS(F82)</x:f>
        <x:v>6969</x:v>
      </x:c>
      <x:c r="H82" s="34" t="n">
        <x:f>F82^2</x:f>
        <x:v>48566961</x:v>
      </x:c>
    </x:row>
    <x:row r="83">
      <x:c r="A83" t="str">
        <x:v>Dic-2020</x:v>
      </x:c>
      <x:c r="B83" t="str">
        <x:v>PIB Nominal (USD mn)</x:v>
      </x:c>
      <x:c r="C83" s="33" t="n">
        <x:v>2022</x:v>
      </x:c>
      <x:c r="D83" s="34" t="n">
        <x:v>102841</x:v>
      </x:c>
      <x:c r="E83" s="34" t="n">
        <x:v>116586</x:v>
      </x:c>
      <x:c r="F83" s="34" t="n">
        <x:f>D83-E83</x:f>
        <x:v>-13745</x:v>
      </x:c>
      <x:c r="G83" s="34" t="n">
        <x:f>ABS(F83)</x:f>
        <x:v>13745</x:v>
      </x:c>
      <x:c r="H83" s="34" t="n">
        <x:f>F83^2</x:f>
        <x:v>188925025</x:v>
      </x:c>
    </x:row>
    <x:row r="84">
      <x:c r="A84" t="str">
        <x:v>Dic-2020</x:v>
      </x:c>
      <x:c r="B84" t="str">
        <x:v>PIB Nominal (USD mn)</x:v>
      </x:c>
      <x:c r="C84" s="33" t="n">
        <x:v>2023</x:v>
      </x:c>
      <x:c r="D84" s="34" t="n">
        <x:v>106012</x:v>
      </x:c>
      <x:c r="E84" s="34" t="n">
        <x:v>120793</x:v>
      </x:c>
      <x:c r="F84" s="34" t="n">
        <x:f>D84-E84</x:f>
        <x:v>-14781</x:v>
      </x:c>
      <x:c r="G84" s="34" t="n">
        <x:f>ABS(F84)</x:f>
        <x:v>14781</x:v>
      </x:c>
      <x:c r="H84" s="34" t="n">
        <x:f>F84^2</x:f>
        <x:v>218477961</x:v>
      </x:c>
    </x:row>
    <x:row r="85">
      <x:c r="A85" t="str">
        <x:v>Dic-2020</x:v>
      </x:c>
      <x:c r="B85" t="str">
        <x:v>PIB Nominal (USD mn)</x:v>
      </x:c>
      <x:c r="C85" s="33" t="n">
        <x:v>2024</x:v>
      </x:c>
      <x:c r="D85" s="34" t="n">
        <x:v>109458</x:v>
      </x:c>
      <x:c r="E85" s="34" t="n">
        <x:v>123802</x:v>
      </x:c>
      <x:c r="F85" s="34" t="n">
        <x:f>D85-E85</x:f>
        <x:v>-14344</x:v>
      </x:c>
      <x:c r="G85" s="34" t="n">
        <x:f>ABS(F85)</x:f>
        <x:v>14344</x:v>
      </x:c>
      <x:c r="H85" s="34" t="n">
        <x:f>F85^2</x:f>
        <x:v>205750336</x:v>
      </x:c>
    </x:row>
    <x:row r="86">
      <x:c r="A86" t="str">
        <x:v>Dic-2020</x:v>
      </x:c>
      <x:c r="B86" t="str">
        <x:v>PIB Nominal (USD mn)</x:v>
      </x:c>
      <x:c r="C86" s="33" t="n">
        <x:v>2025</x:v>
      </x:c>
      <x:c r="D86" s="34" t="n">
        <x:v>113362</x:v>
      </x:c>
      <x:c r="E86" s="34" t="n">
        <x:v>130321</x:v>
      </x:c>
      <x:c r="F86" s="34" t="n">
        <x:f>D86-E86</x:f>
        <x:v>-16959</x:v>
      </x:c>
      <x:c r="G86" s="34" t="n">
        <x:f>ABS(F86)</x:f>
        <x:v>16959</x:v>
      </x:c>
      <x:c r="H86" s="34" t="n">
        <x:f>F86^2</x:f>
        <x:v>287607681</x:v>
      </x:c>
    </x:row>
    <x:row r="87">
      <x:c r="A87" t="str">
        <x:v>Dic-2020</x:v>
      </x:c>
      <x:c r="B87" t="str">
        <x:v>Reservas Internacionales (USD mn)</x:v>
      </x:c>
      <x:c r="C87" s="33" t="n">
        <x:v>2020</x:v>
      </x:c>
      <x:c r="D87" s="34" t="n">
        <x:v>5660</x:v>
      </x:c>
      <x:c r="E87" s="34" t="n">
        <x:v>7133</x:v>
      </x:c>
      <x:c r="F87" s="34" t="n">
        <x:f>D87-E87</x:f>
        <x:v>-1473</x:v>
      </x:c>
      <x:c r="G87" s="34" t="n">
        <x:f>ABS(F87)</x:f>
        <x:v>1473</x:v>
      </x:c>
      <x:c r="H87" s="34" t="n">
        <x:f>F87^2</x:f>
        <x:v>2169729</x:v>
      </x:c>
    </x:row>
    <x:row r="88">
      <x:c r="A88" t="str">
        <x:v>Dic-2020</x:v>
      </x:c>
      <x:c r="B88" t="str">
        <x:v>Reservas Internacionales (USD mn)</x:v>
      </x:c>
      <x:c r="C88" s="33" t="n">
        <x:v>2021</x:v>
      </x:c>
      <x:c r="D88" s="34" t="n">
        <x:v>6826</x:v>
      </x:c>
      <x:c r="E88" s="34" t="n">
        <x:v>7898</x:v>
      </x:c>
      <x:c r="F88" s="34" t="n">
        <x:f>D88-E88</x:f>
        <x:v>-1072</x:v>
      </x:c>
      <x:c r="G88" s="34" t="n">
        <x:f>ABS(F88)</x:f>
        <x:v>1072</x:v>
      </x:c>
      <x:c r="H88" s="34" t="n">
        <x:f>F88^2</x:f>
        <x:v>1149184</x:v>
      </x:c>
    </x:row>
    <x:row r="89">
      <x:c r="A89" t="str">
        <x:v>Dic-2020</x:v>
      </x:c>
      <x:c r="B89" t="str">
        <x:v>Reservas Internacionales (USD mn)</x:v>
      </x:c>
      <x:c r="C89" s="33" t="n">
        <x:v>2022</x:v>
      </x:c>
      <x:c r="D89" s="34" t="n">
        <x:v>8930</x:v>
      </x:c>
      <x:c r="E89" s="34" t="n">
        <x:v>8459</x:v>
      </x:c>
      <x:c r="F89" s="34" t="n">
        <x:f>D89-E89</x:f>
        <x:v>471</x:v>
      </x:c>
      <x:c r="G89" s="34" t="n">
        <x:f>ABS(F89)</x:f>
        <x:v>471</x:v>
      </x:c>
      <x:c r="H89" s="34" t="n">
        <x:f>F89^2</x:f>
        <x:v>221841</x:v>
      </x:c>
    </x:row>
    <x:row r="90">
      <x:c r="A90" t="str">
        <x:v>Dic-2020</x:v>
      </x:c>
      <x:c r="B90" t="str">
        <x:v>Reservas Internacionales (USD mn)</x:v>
      </x:c>
      <x:c r="C90" s="33" t="n">
        <x:v>2023</x:v>
      </x:c>
      <x:c r="D90" s="34" t="n">
        <x:v>10814</x:v>
      </x:c>
      <x:c r="E90" s="34" t="n">
        <x:v>4455</x:v>
      </x:c>
      <x:c r="F90" s="34" t="n">
        <x:f>D90-E90</x:f>
        <x:v>6359</x:v>
      </x:c>
      <x:c r="G90" s="34" t="n">
        <x:f>ABS(F90)</x:f>
        <x:v>6359</x:v>
      </x:c>
      <x:c r="H90" s="34" t="n">
        <x:f>F90^2</x:f>
        <x:v>40436881</x:v>
      </x:c>
    </x:row>
    <x:row r="91">
      <x:c r="A91" t="str">
        <x:v>Dic-2020</x:v>
      </x:c>
      <x:c r="B91" t="str">
        <x:v>Reservas Internacionales (USD mn)</x:v>
      </x:c>
      <x:c r="C91" s="33" t="n">
        <x:v>2024</x:v>
      </x:c>
      <x:c r="D91" s="34" t="n">
        <x:v>13040</x:v>
      </x:c>
      <x:c r="E91" s="34" t="n">
        <x:v>6908</x:v>
      </x:c>
      <x:c r="F91" s="34" t="n">
        <x:f>D91-E91</x:f>
        <x:v>6132</x:v>
      </x:c>
      <x:c r="G91" s="34" t="n">
        <x:f>ABS(F91)</x:f>
        <x:v>6132</x:v>
      </x:c>
      <x:c r="H91" s="34" t="n">
        <x:f>F91^2</x:f>
        <x:v>37601424</x:v>
      </x:c>
    </x:row>
    <x:row r="92">
      <x:c r="A92" t="str">
        <x:v>Dic-2020</x:v>
      </x:c>
      <x:c r="B92" t="str">
        <x:v>Reservas Internacionales (USD mn)</x:v>
      </x:c>
      <x:c r="C92" s="33" t="n">
        <x:v>2025</x:v>
      </x:c>
      <x:c r="D92" s="34" t="n">
        <x:v>13786</x:v>
      </x:c>
      <x:c r="E92" s="34" t="n">
        <x:v>9803</x:v>
      </x:c>
      <x:c r="F92" s="34" t="n">
        <x:f>D92-E92</x:f>
        <x:v>3983</x:v>
      </x:c>
      <x:c r="G92" s="34" t="n">
        <x:f>ABS(F92)</x:f>
        <x:v>3983</x:v>
      </x:c>
      <x:c r="H92" s="34" t="n">
        <x:f>F92^2</x:f>
        <x:v>15864289</x:v>
      </x:c>
    </x:row>
    <x:row r="93">
      <x:c r="A93" t="str">
        <x:v>Oct-2021</x:v>
      </x:c>
      <x:c r="B93" t="str">
        <x:v>Real GDP (%)</x:v>
      </x:c>
      <x:c r="C93" s="33" t="n">
        <x:v>2021</x:v>
      </x:c>
      <x:c r="D93" s="34" t="n">
        <x:v>2.8</x:v>
      </x:c>
      <x:c r="E93" s="34" t="n">
        <x:v>4.2</x:v>
      </x:c>
      <x:c r="F93" s="34" t="n">
        <x:f>D93-E93</x:f>
        <x:v>-1.4000000000000004</x:v>
      </x:c>
      <x:c r="G93" s="34" t="n">
        <x:f>ABS(F93)</x:f>
        <x:v>1.4000000000000004</x:v>
      </x:c>
      <x:c r="H93" s="34" t="n">
        <x:f>F93^2</x:f>
        <x:v>1.960000000000001</x:v>
      </x:c>
    </x:row>
    <x:row r="94">
      <x:c r="A94" t="str">
        <x:v>Oct-2021</x:v>
      </x:c>
      <x:c r="B94" t="str">
        <x:v>Real GDP (%)</x:v>
      </x:c>
      <x:c r="C94" s="33" t="n">
        <x:v>2022</x:v>
      </x:c>
      <x:c r="D94" s="34" t="n">
        <x:v>3.5</x:v>
      </x:c>
      <x:c r="E94" s="34" t="n">
        <x:v>6.2</x:v>
      </x:c>
      <x:c r="F94" s="34" t="n">
        <x:f>D94-E94</x:f>
        <x:v>-2.7</x:v>
      </x:c>
      <x:c r="G94" s="34" t="n">
        <x:f>ABS(F94)</x:f>
        <x:v>2.7</x:v>
      </x:c>
      <x:c r="H94" s="34" t="n">
        <x:f>F94^2</x:f>
        <x:v>7.290000000000001</x:v>
      </x:c>
    </x:row>
    <x:row r="95">
      <x:c r="A95" t="str">
        <x:v>Oct-2021</x:v>
      </x:c>
      <x:c r="B95" t="str">
        <x:v>Real GDP (%)</x:v>
      </x:c>
      <x:c r="C95" s="33" t="n">
        <x:v>2023</x:v>
      </x:c>
      <x:c r="D95" s="34" t="n">
        <x:v>2.5</x:v>
      </x:c>
      <x:c r="E95" s="34" t="n">
        <x:v>1.8</x:v>
      </x:c>
      <x:c r="F95" s="34" t="n">
        <x:f>D95-E95</x:f>
        <x:v>0.7</x:v>
      </x:c>
      <x:c r="G95" s="34" t="n">
        <x:f>ABS(F95)</x:f>
        <x:v>0.7</x:v>
      </x:c>
      <x:c r="H95" s="34" t="n">
        <x:f>F95^2</x:f>
        <x:v>0.48999999999999994</x:v>
      </x:c>
    </x:row>
    <x:row r="96">
      <x:c r="A96" t="str">
        <x:v>Oct-2021</x:v>
      </x:c>
      <x:c r="B96" t="str">
        <x:v>Real GDP (%)</x:v>
      </x:c>
      <x:c r="C96" s="33" t="n">
        <x:v>2024</x:v>
      </x:c>
      <x:c r="D96" s="34" t="n">
        <x:v>2.6</x:v>
      </x:c>
      <x:c r="E96" s="34" t="n">
        <x:v>-1.9</x:v>
      </x:c>
      <x:c r="F96" s="34" t="n">
        <x:f>D96-E96</x:f>
        <x:v>4.5</x:v>
      </x:c>
      <x:c r="G96" s="34" t="n">
        <x:f>ABS(F96)</x:f>
        <x:v>4.5</x:v>
      </x:c>
      <x:c r="H96" s="34" t="n">
        <x:f>F96^2</x:f>
        <x:v>20.25</x:v>
      </x:c>
    </x:row>
    <x:row r="97">
      <x:c r="A97" t="str">
        <x:v>Oct-2021</x:v>
      </x:c>
      <x:c r="B97" t="str">
        <x:v>Real GDP (%)</x:v>
      </x:c>
      <x:c r="C97" s="33" t="n">
        <x:v>2025</x:v>
      </x:c>
      <x:c r="D97" s="34" t="n">
        <x:v>2.8</x:v>
      </x:c>
      <x:c r="E97" s="34" t="n">
        <x:v>3.7</x:v>
      </x:c>
      <x:c r="F97" s="34" t="n">
        <x:f>D97-E97</x:f>
        <x:v>-0.9000000000000004</x:v>
      </x:c>
      <x:c r="G97" s="34" t="n">
        <x:f>ABS(F97)</x:f>
        <x:v>0.9000000000000004</x:v>
      </x:c>
      <x:c r="H97" s="34" t="n">
        <x:f>F97^2</x:f>
        <x:v>0.8100000000000006</x:v>
      </x:c>
    </x:row>
    <x:row r="98">
      <x:c r="A98" t="str">
        <x:v>Oct-2021</x:v>
      </x:c>
      <x:c r="B98" t="str">
        <x:v>Inflación promedio (%)</x:v>
      </x:c>
      <x:c r="C98" s="33" t="n">
        <x:v>2021</x:v>
      </x:c>
      <x:c r="D98" s="34" t="n">
        <x:v>1</x:v>
      </x:c>
      <x:c r="E98" s="34" t="n">
        <x:v>0.1</x:v>
      </x:c>
      <x:c r="F98" s="34" t="n">
        <x:f>D98-E98</x:f>
        <x:v>0.9</x:v>
      </x:c>
      <x:c r="G98" s="34" t="n">
        <x:f>ABS(F98)</x:f>
        <x:v>0.9</x:v>
      </x:c>
      <x:c r="H98" s="34" t="n">
        <x:f>F98^2</x:f>
        <x:v>0.81</x:v>
      </x:c>
    </x:row>
    <x:row r="99">
      <x:c r="A99" t="str">
        <x:v>Oct-2021</x:v>
      </x:c>
      <x:c r="B99" t="str">
        <x:v>Inflación promedio (%)</x:v>
      </x:c>
      <x:c r="C99" s="33" t="n">
        <x:v>2022</x:v>
      </x:c>
      <x:c r="D99" s="34" t="n">
        <x:v>2.1</x:v>
      </x:c>
      <x:c r="E99" s="34" t="n">
        <x:v>3.5</x:v>
      </x:c>
      <x:c r="F99" s="34" t="n">
        <x:f>D99-E99</x:f>
        <x:v>-1.4</x:v>
      </x:c>
      <x:c r="G99" s="34" t="n">
        <x:f>ABS(F99)</x:f>
        <x:v>1.4</x:v>
      </x:c>
      <x:c r="H99" s="34" t="n">
        <x:f>F99^2</x:f>
        <x:v>1.9599999999999997</x:v>
      </x:c>
    </x:row>
    <x:row r="100">
      <x:c r="A100" t="str">
        <x:v>Oct-2021</x:v>
      </x:c>
      <x:c r="B100" t="str">
        <x:v>Inflación promedio (%)</x:v>
      </x:c>
      <x:c r="C100" s="33" t="n">
        <x:v>2023</x:v>
      </x:c>
      <x:c r="D100" s="34" t="n">
        <x:v>1.8</x:v>
      </x:c>
      <x:c r="E100" s="34" t="n">
        <x:v>2.2</x:v>
      </x:c>
      <x:c r="F100" s="34" t="n">
        <x:f>D100-E100</x:f>
        <x:v>-0.40000000000000013</x:v>
      </x:c>
      <x:c r="G100" s="34" t="n">
        <x:f>ABS(F100)</x:f>
        <x:v>0.40000000000000013</x:v>
      </x:c>
      <x:c r="H100" s="34" t="n">
        <x:f>F100^2</x:f>
        <x:v>0.16000000000000011</x:v>
      </x:c>
    </x:row>
    <x:row r="101">
      <x:c r="A101" t="str">
        <x:v>Oct-2021</x:v>
      </x:c>
      <x:c r="B101" t="str">
        <x:v>Inflación promedio (%)</x:v>
      </x:c>
      <x:c r="C101" s="33" t="n">
        <x:v>2024</x:v>
      </x:c>
      <x:c r="D101" s="34" t="n">
        <x:v>1.5</x:v>
      </x:c>
      <x:c r="E101" s="34" t="n">
        <x:v>1.5</x:v>
      </x:c>
      <x:c r="F101" s="34" t="n">
        <x:f>D101-E101</x:f>
        <x:v>0</x:v>
      </x:c>
      <x:c r="G101" s="34" t="n">
        <x:f>ABS(F101)</x:f>
        <x:v>0</x:v>
      </x:c>
      <x:c r="H101" s="34" t="n">
        <x:f>F101^2</x:f>
        <x:v>0</x:v>
      </x:c>
    </x:row>
    <x:row r="102">
      <x:c r="A102" t="str">
        <x:v>Oct-2021</x:v>
      </x:c>
      <x:c r="B102" t="str">
        <x:v>Inflación promedio (%)</x:v>
      </x:c>
      <x:c r="C102" s="33" t="n">
        <x:v>2025</x:v>
      </x:c>
      <x:c r="D102" s="34" t="n">
        <x:v>1.3</x:v>
      </x:c>
      <x:c r="E102" s="34" t="n">
        <x:v>0.7</x:v>
      </x:c>
      <x:c r="F102" s="34" t="n">
        <x:f>D102-E102</x:f>
        <x:v>0.6000000000000001</x:v>
      </x:c>
      <x:c r="G102" s="34" t="n">
        <x:f>ABS(F102)</x:f>
        <x:v>0.6000000000000001</x:v>
      </x:c>
      <x:c r="H102" s="34" t="n">
        <x:f>F102^2</x:f>
        <x:v>0.3600000000000001</x:v>
      </x:c>
    </x:row>
    <x:row r="103">
      <x:c r="A103" t="str">
        <x:v>Oct-2021</x:v>
      </x:c>
      <x:c r="B103" t="str">
        <x:v>Cuenta Corriente (% PIB)</x:v>
      </x:c>
      <x:c r="C103" s="33" t="n">
        <x:v>2021</x:v>
      </x:c>
      <x:c r="D103" s="34" t="n">
        <x:v>1</x:v>
      </x:c>
      <x:c r="E103" s="34" t="n">
        <x:v>2.9</x:v>
      </x:c>
      <x:c r="F103" s="34" t="n">
        <x:f>D103-E103</x:f>
        <x:v>-1.9</x:v>
      </x:c>
      <x:c r="G103" s="34" t="n">
        <x:f>ABS(F103)</x:f>
        <x:v>1.9</x:v>
      </x:c>
      <x:c r="H103" s="34" t="n">
        <x:f>F103^2</x:f>
        <x:v>3.61</x:v>
      </x:c>
    </x:row>
    <x:row r="104">
      <x:c r="A104" t="str">
        <x:v>Oct-2021</x:v>
      </x:c>
      <x:c r="B104" t="str">
        <x:v>Cuenta Corriente (% PIB)</x:v>
      </x:c>
      <x:c r="C104" s="33" t="n">
        <x:v>2022</x:v>
      </x:c>
      <x:c r="D104" s="34" t="n">
        <x:v>1.7</x:v>
      </x:c>
      <x:c r="E104" s="34" t="n">
        <x:v>1.8</x:v>
      </x:c>
      <x:c r="F104" s="34" t="n">
        <x:f>D104-E104</x:f>
        <x:v>-0.10000000000000009</x:v>
      </x:c>
      <x:c r="G104" s="34" t="n">
        <x:f>ABS(F104)</x:f>
        <x:v>0.10000000000000009</x:v>
      </x:c>
      <x:c r="H104" s="34" t="n">
        <x:f>F104^2</x:f>
        <x:v>0.010000000000000018</x:v>
      </x:c>
    </x:row>
    <x:row r="105">
      <x:c r="A105" t="str">
        <x:v>Oct-2021</x:v>
      </x:c>
      <x:c r="B105" t="str">
        <x:v>Cuenta Corriente (% PIB)</x:v>
      </x:c>
      <x:c r="C105" s="33" t="n">
        <x:v>2023</x:v>
      </x:c>
      <x:c r="D105" s="34" t="n">
        <x:v>1.9</x:v>
      </x:c>
      <x:c r="E105" s="34" t="n">
        <x:v>2</x:v>
      </x:c>
      <x:c r="F105" s="34" t="n">
        <x:f>D105-E105</x:f>
        <x:v>-0.10000000000000009</x:v>
      </x:c>
      <x:c r="G105" s="34" t="n">
        <x:f>ABS(F105)</x:f>
        <x:v>0.10000000000000009</x:v>
      </x:c>
      <x:c r="H105" s="34" t="n">
        <x:f>F105^2</x:f>
        <x:v>0.010000000000000018</x:v>
      </x:c>
    </x:row>
    <x:row r="106">
      <x:c r="A106" t="str">
        <x:v>Oct-2021</x:v>
      </x:c>
      <x:c r="B106" t="str">
        <x:v>Cuenta Corriente (% PIB)</x:v>
      </x:c>
      <x:c r="C106" s="33" t="n">
        <x:v>2024</x:v>
      </x:c>
      <x:c r="D106" s="34" t="n">
        <x:v>2</x:v>
      </x:c>
      <x:c r="E106" s="34" t="n">
        <x:v>5.7</x:v>
      </x:c>
      <x:c r="F106" s="34" t="n">
        <x:f>D106-E106</x:f>
        <x:v>-3.7</x:v>
      </x:c>
      <x:c r="G106" s="34" t="n">
        <x:f>ABS(F106)</x:f>
        <x:v>3.7</x:v>
      </x:c>
      <x:c r="H106" s="34" t="n">
        <x:f>F106^2</x:f>
        <x:v>13.690000000000001</x:v>
      </x:c>
    </x:row>
    <x:row r="107">
      <x:c r="A107" t="str">
        <x:v>Oct-2021</x:v>
      </x:c>
      <x:c r="B107" t="str">
        <x:v>Cuenta Corriente (% PIB)</x:v>
      </x:c>
      <x:c r="C107" s="33" t="n">
        <x:v>2025</x:v>
      </x:c>
      <x:c r="D107" s="34" t="n">
        <x:v>2.1</x:v>
      </x:c>
      <x:c r="E107" s="34" t="n">
        <x:v>5.8</x:v>
      </x:c>
      <x:c r="F107" s="34" t="n">
        <x:f>D107-E107</x:f>
        <x:v>-3.6999999999999997</x:v>
      </x:c>
      <x:c r="G107" s="34" t="n">
        <x:f>ABS(F107)</x:f>
        <x:v>3.6999999999999997</x:v>
      </x:c>
      <x:c r="H107" s="34" t="n">
        <x:f>F107^2</x:f>
        <x:v>13.689999999999998</x:v>
      </x:c>
    </x:row>
    <x:row r="108">
      <x:c r="A108" t="str">
        <x:v>Oct-2021</x:v>
      </x:c>
      <x:c r="B108" t="str">
        <x:v>Balance Fiscal NFPS (% PIB)</x:v>
      </x:c>
      <x:c r="C108" s="33" t="n">
        <x:v>2021</x:v>
      </x:c>
      <x:c r="D108" s="34" t="n">
        <x:v>-2.3</x:v>
      </x:c>
      <x:c r="E108" s="34" t="n">
        <x:v>-1.6</x:v>
      </x:c>
      <x:c r="F108" s="34" t="n">
        <x:f>D108-E108</x:f>
        <x:v>-0.6999999999999997</x:v>
      </x:c>
      <x:c r="G108" s="34" t="n">
        <x:f>ABS(F108)</x:f>
        <x:v>0.6999999999999997</x:v>
      </x:c>
      <x:c r="H108" s="34" t="n">
        <x:f>F108^2</x:f>
        <x:v>0.4899999999999996</x:v>
      </x:c>
    </x:row>
    <x:row r="109">
      <x:c r="A109" t="str">
        <x:v>Oct-2021</x:v>
      </x:c>
      <x:c r="B109" t="str">
        <x:v>Balance Fiscal NFPS (% PIB)</x:v>
      </x:c>
      <x:c r="C109" s="33" t="n">
        <x:v>2022</x:v>
      </x:c>
      <x:c r="D109" s="34" t="n">
        <x:v>0.1</x:v>
      </x:c>
      <x:c r="E109" s="34" t="n">
        <x:v>0</x:v>
      </x:c>
      <x:c r="F109" s="34" t="n">
        <x:f>D109-E109</x:f>
        <x:v>0.1</x:v>
      </x:c>
      <x:c r="G109" s="34" t="n">
        <x:f>ABS(F109)</x:f>
        <x:v>0.1</x:v>
      </x:c>
      <x:c r="H109" s="34" t="n">
        <x:f>F109^2</x:f>
        <x:v>0.010000000000000002</x:v>
      </x:c>
    </x:row>
    <x:row r="110">
      <x:c r="A110" t="str">
        <x:v>Oct-2021</x:v>
      </x:c>
      <x:c r="B110" t="str">
        <x:v>Balance Fiscal NFPS (% PIB)</x:v>
      </x:c>
      <x:c r="C110" s="33" t="n">
        <x:v>2023</x:v>
      </x:c>
      <x:c r="D110" s="34" t="n">
        <x:v>1.2</x:v>
      </x:c>
      <x:c r="E110" s="34" t="n">
        <x:v>-3.5</x:v>
      </x:c>
      <x:c r="F110" s="34" t="n">
        <x:f>D110-E110</x:f>
        <x:v>4.7</x:v>
      </x:c>
      <x:c r="G110" s="34" t="n">
        <x:f>ABS(F110)</x:f>
        <x:v>4.7</x:v>
      </x:c>
      <x:c r="H110" s="34" t="n">
        <x:f>F110^2</x:f>
        <x:v>22.090000000000003</x:v>
      </x:c>
    </x:row>
    <x:row r="111">
      <x:c r="A111" t="str">
        <x:v>Oct-2021</x:v>
      </x:c>
      <x:c r="B111" t="str">
        <x:v>Balance Fiscal NFPS (% PIB)</x:v>
      </x:c>
      <x:c r="C111" s="33" t="n">
        <x:v>2024</x:v>
      </x:c>
      <x:c r="D111" s="34" t="n">
        <x:v>1.4</x:v>
      </x:c>
      <x:c r="E111" s="34" t="n">
        <x:v>-1.3</x:v>
      </x:c>
      <x:c r="F111" s="34" t="n">
        <x:f>D111-E111</x:f>
        <x:v>2.7</x:v>
      </x:c>
      <x:c r="G111" s="34" t="n">
        <x:f>ABS(F111)</x:f>
        <x:v>2.7</x:v>
      </x:c>
      <x:c r="H111" s="34" t="n">
        <x:f>F111^2</x:f>
        <x:v>7.290000000000001</x:v>
      </x:c>
    </x:row>
    <x:row r="112">
      <x:c r="A112" t="str">
        <x:v>Oct-2021</x:v>
      </x:c>
      <x:c r="B112" t="str">
        <x:v>Balance Fiscal NFPS (% PIB)</x:v>
      </x:c>
      <x:c r="C112" s="33" t="n">
        <x:v>2025</x:v>
      </x:c>
      <x:c r="D112" s="34" t="n">
        <x:v>1.4</x:v>
      </x:c>
      <x:c r="E112" s="34" t="n">
        <x:v>-2.9</x:v>
      </x:c>
      <x:c r="F112" s="34" t="n">
        <x:f>D112-E112</x:f>
        <x:v>4.3</x:v>
      </x:c>
      <x:c r="G112" s="34" t="n">
        <x:f>ABS(F112)</x:f>
        <x:v>4.3</x:v>
      </x:c>
      <x:c r="H112" s="34" t="n">
        <x:f>F112^2</x:f>
        <x:v>18.49</x:v>
      </x:c>
    </x:row>
    <x:row r="113">
      <x:c r="A113" t="str">
        <x:v>Oct-2021</x:v>
      </x:c>
      <x:c r="B113" t="str">
        <x:v>Deuda Pública (% PIB)</x:v>
      </x:c>
      <x:c r="C113" s="33" t="n">
        <x:v>2021</x:v>
      </x:c>
      <x:c r="D113" s="34" t="n">
        <x:v>61</x:v>
      </x:c>
      <x:c r="E113" s="34" t="n">
        <x:v>62.3</x:v>
      </x:c>
      <x:c r="F113" s="34" t="n">
        <x:f>D113-E113</x:f>
        <x:v>-1.2999999999999972</x:v>
      </x:c>
      <x:c r="G113" s="34" t="n">
        <x:f>ABS(F113)</x:f>
        <x:v>1.2999999999999972</x:v>
      </x:c>
      <x:c r="H113" s="34" t="n">
        <x:f>F113^2</x:f>
        <x:v>1.6899999999999926</x:v>
      </x:c>
    </x:row>
    <x:row r="114">
      <x:c r="A114" t="str">
        <x:v>Oct-2021</x:v>
      </x:c>
      <x:c r="B114" t="str">
        <x:v>Deuda Pública (% PIB)</x:v>
      </x:c>
      <x:c r="C114" s="33" t="n">
        <x:v>2022</x:v>
      </x:c>
      <x:c r="D114" s="34" t="n">
        <x:v>59.9</x:v>
      </x:c>
      <x:c r="E114" s="34" t="n">
        <x:v>57</x:v>
      </x:c>
      <x:c r="F114" s="34" t="n">
        <x:f>D114-E114</x:f>
        <x:v>2.8999999999999986</x:v>
      </x:c>
      <x:c r="G114" s="34" t="n">
        <x:f>ABS(F114)</x:f>
        <x:v>2.8999999999999986</x:v>
      </x:c>
      <x:c r="H114" s="34" t="n">
        <x:f>F114^2</x:f>
        <x:v>8.409999999999991</x:v>
      </x:c>
    </x:row>
    <x:row r="115">
      <x:c r="A115" t="str">
        <x:v>Oct-2021</x:v>
      </x:c>
      <x:c r="B115" t="str">
        <x:v>Deuda Pública (% PIB)</x:v>
      </x:c>
      <x:c r="C115" s="33" t="n">
        <x:v>2023</x:v>
      </x:c>
      <x:c r="D115" s="34" t="n">
        <x:v>57.9</x:v>
      </x:c>
      <x:c r="E115" s="34" t="n">
        <x:v>54.5</x:v>
      </x:c>
      <x:c r="F115" s="34" t="n">
        <x:f>D115-E115</x:f>
        <x:v>3.3999999999999986</x:v>
      </x:c>
      <x:c r="G115" s="34" t="n">
        <x:f>ABS(F115)</x:f>
        <x:v>3.3999999999999986</x:v>
      </x:c>
      <x:c r="H115" s="34" t="n">
        <x:f>F115^2</x:f>
        <x:v>11.55999999999999</x:v>
      </x:c>
    </x:row>
    <x:row r="116">
      <x:c r="A116" t="str">
        <x:v>Oct-2021</x:v>
      </x:c>
      <x:c r="B116" t="str">
        <x:v>Deuda Pública (% PIB)</x:v>
      </x:c>
      <x:c r="C116" s="33" t="n">
        <x:v>2024</x:v>
      </x:c>
      <x:c r="D116" s="34" t="n">
        <x:v>56.2</x:v>
      </x:c>
      <x:c r="E116" s="34" t="n">
        <x:v>54.1</x:v>
      </x:c>
      <x:c r="F116" s="34" t="n">
        <x:f>D116-E116</x:f>
        <x:v>2.1000000000000014</x:v>
      </x:c>
      <x:c r="G116" s="34" t="n">
        <x:f>ABS(F116)</x:f>
        <x:v>2.1000000000000014</x:v>
      </x:c>
      <x:c r="H116" s="34" t="n">
        <x:f>F116^2</x:f>
        <x:v>4.410000000000006</x:v>
      </x:c>
    </x:row>
    <x:row r="117">
      <x:c r="A117" t="str">
        <x:v>Oct-2021</x:v>
      </x:c>
      <x:c r="B117" t="str">
        <x:v>Deuda Pública (% PIB)</x:v>
      </x:c>
      <x:c r="C117" s="33" t="n">
        <x:v>2025</x:v>
      </x:c>
      <x:c r="D117" s="34" t="n">
        <x:v>52.9</x:v>
      </x:c>
      <x:c r="E117" s="34" t="n">
        <x:v>54.3</x:v>
      </x:c>
      <x:c r="F117" s="34" t="n">
        <x:f>D117-E117</x:f>
        <x:v>-1.3999999999999986</x:v>
      </x:c>
      <x:c r="G117" s="34" t="n">
        <x:f>ABS(F117)</x:f>
        <x:v>1.3999999999999986</x:v>
      </x:c>
      <x:c r="H117" s="34" t="n">
        <x:f>F117^2</x:f>
        <x:v>1.959999999999996</x:v>
      </x:c>
    </x:row>
    <x:row r="118">
      <x:c r="A118" t="str">
        <x:v>Oct-2021</x:v>
      </x:c>
      <x:c r="B118" t="str">
        <x:v>Precio Petróleo Ecuador (USD/bbl)</x:v>
      </x:c>
      <x:c r="C118" s="33" t="n">
        <x:v>2021</x:v>
      </x:c>
      <x:c r="D118" s="34" t="n">
        <x:v>37.1</x:v>
      </x:c>
      <x:c r="E118" s="34" t="n">
        <x:v>62</x:v>
      </x:c>
      <x:c r="F118" s="34" t="n">
        <x:f>D118-E118</x:f>
        <x:v>-24.9</x:v>
      </x:c>
      <x:c r="G118" s="34" t="n">
        <x:f>ABS(F118)</x:f>
        <x:v>24.9</x:v>
      </x:c>
      <x:c r="H118" s="34" t="n">
        <x:f>F118^2</x:f>
        <x:v>620.0099999999999</x:v>
      </x:c>
    </x:row>
    <x:row r="119">
      <x:c r="A119" t="str">
        <x:v>Oct-2021</x:v>
      </x:c>
      <x:c r="B119" t="str">
        <x:v>Precio Petróleo Ecuador (USD/bbl)</x:v>
      </x:c>
      <x:c r="C119" s="33" t="n">
        <x:v>2022</x:v>
      </x:c>
      <x:c r="D119" s="34" t="n">
        <x:v>59.8</x:v>
      </x:c>
      <x:c r="E119" s="34" t="n">
        <x:v>85.8</x:v>
      </x:c>
      <x:c r="F119" s="34" t="n">
        <x:f>D119-E119</x:f>
        <x:v>-26</x:v>
      </x:c>
      <x:c r="G119" s="34" t="n">
        <x:f>ABS(F119)</x:f>
        <x:v>26</x:v>
      </x:c>
      <x:c r="H119" s="34" t="n">
        <x:f>F119^2</x:f>
        <x:v>676</x:v>
      </x:c>
    </x:row>
    <x:row r="120">
      <x:c r="A120" t="str">
        <x:v>Oct-2021</x:v>
      </x:c>
      <x:c r="B120" t="str">
        <x:v>Precio Petróleo Ecuador (USD/bbl)</x:v>
      </x:c>
      <x:c r="C120" s="33" t="n">
        <x:v>2023</x:v>
      </x:c>
      <x:c r="D120" s="34" t="n">
        <x:v>55</x:v>
      </x:c>
      <x:c r="E120" s="34" t="n">
        <x:v>68</x:v>
      </x:c>
      <x:c r="F120" s="34" t="n">
        <x:f>D120-E120</x:f>
        <x:v>-13</x:v>
      </x:c>
      <x:c r="G120" s="34" t="n">
        <x:f>ABS(F120)</x:f>
        <x:v>13</x:v>
      </x:c>
      <x:c r="H120" s="34" t="n">
        <x:f>F120^2</x:f>
        <x:v>169</x:v>
      </x:c>
    </x:row>
    <x:row r="121">
      <x:c r="A121" t="str">
        <x:v>Oct-2021</x:v>
      </x:c>
      <x:c r="B121" t="str">
        <x:v>Precio Petróleo Ecuador (USD/bbl)</x:v>
      </x:c>
      <x:c r="C121" s="33" t="n">
        <x:v>2024</x:v>
      </x:c>
      <x:c r="D121" s="34" t="n">
        <x:v>52.3</x:v>
      </x:c>
      <x:c r="E121" s="34" t="n">
        <x:v>68.5</x:v>
      </x:c>
      <x:c r="F121" s="34" t="n">
        <x:f>D121-E121</x:f>
        <x:v>-16.200000000000003</x:v>
      </x:c>
      <x:c r="G121" s="34" t="n">
        <x:f>ABS(F121)</x:f>
        <x:v>16.200000000000003</x:v>
      </x:c>
      <x:c r="H121" s="34" t="n">
        <x:f>F121^2</x:f>
        <x:v>262.4400000000001</x:v>
      </x:c>
    </x:row>
    <x:row r="122">
      <x:c r="A122" t="str">
        <x:v>Oct-2021</x:v>
      </x:c>
      <x:c r="B122" t="str">
        <x:v>Precio Petróleo Ecuador (USD/bbl)</x:v>
      </x:c>
      <x:c r="C122" s="33" t="n">
        <x:v>2025</x:v>
      </x:c>
      <x:c r="D122" s="34" t="n">
        <x:v>50.5</x:v>
      </x:c>
      <x:c r="E122" s="34" t="n">
        <x:v>58.6</x:v>
      </x:c>
      <x:c r="F122" s="34" t="n">
        <x:f>D122-E122</x:f>
        <x:v>-8.100000000000001</x:v>
      </x:c>
      <x:c r="G122" s="34" t="n">
        <x:f>ABS(F122)</x:f>
        <x:v>8.100000000000001</x:v>
      </x:c>
      <x:c r="H122" s="34" t="n">
        <x:f>F122^2</x:f>
        <x:v>65.61000000000003</x:v>
      </x:c>
    </x:row>
    <x:row r="123">
      <x:c r="A123" t="str">
        <x:v>Oct-2021</x:v>
      </x:c>
      <x:c r="B123" t="str">
        <x:v>PIB Nominal (USD mn)</x:v>
      </x:c>
      <x:c r="C123" s="33" t="n">
        <x:v>2021</x:v>
      </x:c>
      <x:c r="D123" s="34" t="n">
        <x:v>99197</x:v>
      </x:c>
      <x:c r="E123" s="34" t="n">
        <x:v>106166</x:v>
      </x:c>
      <x:c r="F123" s="34" t="n">
        <x:f>D123-E123</x:f>
        <x:v>-6969</x:v>
      </x:c>
      <x:c r="G123" s="34" t="n">
        <x:f>ABS(F123)</x:f>
        <x:v>6969</x:v>
      </x:c>
      <x:c r="H123" s="34" t="n">
        <x:f>F123^2</x:f>
        <x:v>48566961</x:v>
      </x:c>
    </x:row>
    <x:row r="124">
      <x:c r="A124" t="str">
        <x:v>Oct-2021</x:v>
      </x:c>
      <x:c r="B124" t="str">
        <x:v>PIB Nominal (USD mn)</x:v>
      </x:c>
      <x:c r="C124" s="33" t="n">
        <x:v>2022</x:v>
      </x:c>
      <x:c r="D124" s="34" t="n">
        <x:v>104483</x:v>
      </x:c>
      <x:c r="E124" s="34" t="n">
        <x:v>116586</x:v>
      </x:c>
      <x:c r="F124" s="34" t="n">
        <x:f>D124-E124</x:f>
        <x:v>-12103</x:v>
      </x:c>
      <x:c r="G124" s="34" t="n">
        <x:f>ABS(F124)</x:f>
        <x:v>12103</x:v>
      </x:c>
      <x:c r="H124" s="34" t="n">
        <x:f>F124^2</x:f>
        <x:v>146482609</x:v>
      </x:c>
    </x:row>
    <x:row r="125">
      <x:c r="A125" t="str">
        <x:v>Oct-2021</x:v>
      </x:c>
      <x:c r="B125" t="str">
        <x:v>PIB Nominal (USD mn)</x:v>
      </x:c>
      <x:c r="C125" s="33" t="n">
        <x:v>2023</x:v>
      </x:c>
      <x:c r="D125" s="34" t="n">
        <x:v>109975</x:v>
      </x:c>
      <x:c r="E125" s="34" t="n">
        <x:v>120793</x:v>
      </x:c>
      <x:c r="F125" s="34" t="n">
        <x:f>D125-E125</x:f>
        <x:v>-10818</x:v>
      </x:c>
      <x:c r="G125" s="34" t="n">
        <x:f>ABS(F125)</x:f>
        <x:v>10818</x:v>
      </x:c>
      <x:c r="H125" s="34" t="n">
        <x:f>F125^2</x:f>
        <x:v>117029124</x:v>
      </x:c>
    </x:row>
    <x:row r="126">
      <x:c r="A126" t="str">
        <x:v>Oct-2021</x:v>
      </x:c>
      <x:c r="B126" t="str">
        <x:v>PIB Nominal (USD mn)</x:v>
      </x:c>
      <x:c r="C126" s="33" t="n">
        <x:v>2024</x:v>
      </x:c>
      <x:c r="D126" s="34" t="n">
        <x:v>114076</x:v>
      </x:c>
      <x:c r="E126" s="34" t="n">
        <x:v>123802</x:v>
      </x:c>
      <x:c r="F126" s="34" t="n">
        <x:f>D126-E126</x:f>
        <x:v>-9726</x:v>
      </x:c>
      <x:c r="G126" s="34" t="n">
        <x:f>ABS(F126)</x:f>
        <x:v>9726</x:v>
      </x:c>
      <x:c r="H126" s="34" t="n">
        <x:f>F126^2</x:f>
        <x:v>94595076</x:v>
      </x:c>
    </x:row>
    <x:row r="127">
      <x:c r="A127" t="str">
        <x:v>Oct-2021</x:v>
      </x:c>
      <x:c r="B127" t="str">
        <x:v>PIB Nominal (USD mn)</x:v>
      </x:c>
      <x:c r="C127" s="33" t="n">
        <x:v>2025</x:v>
      </x:c>
      <x:c r="D127" s="34" t="n">
        <x:v>118502</x:v>
      </x:c>
      <x:c r="E127" s="34" t="n">
        <x:v>130321</x:v>
      </x:c>
      <x:c r="F127" s="34" t="n">
        <x:f>D127-E127</x:f>
        <x:v>-11819</x:v>
      </x:c>
      <x:c r="G127" s="34" t="n">
        <x:f>ABS(F127)</x:f>
        <x:v>11819</x:v>
      </x:c>
      <x:c r="H127" s="34" t="n">
        <x:f>F127^2</x:f>
        <x:v>139688761</x:v>
      </x:c>
    </x:row>
    <x:row r="128">
      <x:c r="A128" t="str">
        <x:v>Oct-2021</x:v>
      </x:c>
      <x:c r="B128" t="str">
        <x:v>Reservas Internacionales (USD mn)</x:v>
      </x:c>
      <x:c r="C128" s="33" t="n">
        <x:v>2021</x:v>
      </x:c>
      <x:c r="D128" s="34" t="n">
        <x:v>7196</x:v>
      </x:c>
      <x:c r="E128" s="34" t="n">
        <x:v>7898</x:v>
      </x:c>
      <x:c r="F128" s="34" t="n">
        <x:f>D128-E128</x:f>
        <x:v>-702</x:v>
      </x:c>
      <x:c r="G128" s="34" t="n">
        <x:f>ABS(F128)</x:f>
        <x:v>702</x:v>
      </x:c>
      <x:c r="H128" s="34" t="n">
        <x:f>F128^2</x:f>
        <x:v>492804</x:v>
      </x:c>
    </x:row>
    <x:row r="129">
      <x:c r="A129" t="str">
        <x:v>Oct-2021</x:v>
      </x:c>
      <x:c r="B129" t="str">
        <x:v>Reservas Internacionales (USD mn)</x:v>
      </x:c>
      <x:c r="C129" s="33" t="n">
        <x:v>2022</x:v>
      </x:c>
      <x:c r="D129" s="34" t="n">
        <x:v>8427</x:v>
      </x:c>
      <x:c r="E129" s="34" t="n">
        <x:v>8459</x:v>
      </x:c>
      <x:c r="F129" s="34" t="n">
        <x:f>D129-E129</x:f>
        <x:v>-32</x:v>
      </x:c>
      <x:c r="G129" s="34" t="n">
        <x:f>ABS(F129)</x:f>
        <x:v>32</x:v>
      </x:c>
      <x:c r="H129" s="34" t="n">
        <x:f>F129^2</x:f>
        <x:v>1024</x:v>
      </x:c>
    </x:row>
    <x:row r="130">
      <x:c r="A130" t="str">
        <x:v>Oct-2021</x:v>
      </x:c>
      <x:c r="B130" t="str">
        <x:v>Reservas Internacionales (USD mn)</x:v>
      </x:c>
      <x:c r="C130" s="33" t="n">
        <x:v>2023</x:v>
      </x:c>
      <x:c r="D130" s="34" t="n">
        <x:v>9908</x:v>
      </x:c>
      <x:c r="E130" s="34" t="n">
        <x:v>4455</x:v>
      </x:c>
      <x:c r="F130" s="34" t="n">
        <x:f>D130-E130</x:f>
        <x:v>5453</x:v>
      </x:c>
      <x:c r="G130" s="34" t="n">
        <x:f>ABS(F130)</x:f>
        <x:v>5453</x:v>
      </x:c>
      <x:c r="H130" s="34" t="n">
        <x:f>F130^2</x:f>
        <x:v>29735209</x:v>
      </x:c>
    </x:row>
    <x:row r="131">
      <x:c r="A131" t="str">
        <x:v>Oct-2021</x:v>
      </x:c>
      <x:c r="B131" t="str">
        <x:v>Reservas Internacionales (USD mn)</x:v>
      </x:c>
      <x:c r="C131" s="33" t="n">
        <x:v>2024</x:v>
      </x:c>
      <x:c r="D131" s="34" t="n">
        <x:v>11529</x:v>
      </x:c>
      <x:c r="E131" s="34" t="n">
        <x:v>6908</x:v>
      </x:c>
      <x:c r="F131" s="34" t="n">
        <x:f>D131-E131</x:f>
        <x:v>4621</x:v>
      </x:c>
      <x:c r="G131" s="34" t="n">
        <x:f>ABS(F131)</x:f>
        <x:v>4621</x:v>
      </x:c>
      <x:c r="H131" s="34" t="n">
        <x:f>F131^2</x:f>
        <x:v>21353641</x:v>
      </x:c>
    </x:row>
    <x:row r="132">
      <x:c r="A132" t="str">
        <x:v>Oct-2021</x:v>
      </x:c>
      <x:c r="B132" t="str">
        <x:v>Reservas Internacionales (USD mn)</x:v>
      </x:c>
      <x:c r="C132" s="33" t="n">
        <x:v>2025</x:v>
      </x:c>
      <x:c r="D132" s="34" t="n">
        <x:v>13443</x:v>
      </x:c>
      <x:c r="E132" s="34" t="n">
        <x:v>9803</x:v>
      </x:c>
      <x:c r="F132" s="34" t="n">
        <x:f>D132-E132</x:f>
        <x:v>3640</x:v>
      </x:c>
      <x:c r="G132" s="34" t="n">
        <x:f>ABS(F132)</x:f>
        <x:v>3640</x:v>
      </x:c>
      <x:c r="H132" s="34" t="n">
        <x:f>F132^2</x:f>
        <x:v>13249600</x:v>
      </x:c>
    </x:row>
    <x:row r="133">
      <x:c r="A133" t="str">
        <x:v>Nov-2022</x:v>
      </x:c>
      <x:c r="B133" t="str">
        <x:v>Real GDP (%)</x:v>
      </x:c>
      <x:c r="C133" s="33" t="n">
        <x:v>2022</x:v>
      </x:c>
      <x:c r="D133" s="34" t="n">
        <x:v>2.7</x:v>
      </x:c>
      <x:c r="E133" s="34" t="n">
        <x:v>6.2</x:v>
      </x:c>
      <x:c r="F133" s="34" t="n">
        <x:f>D133-E133</x:f>
        <x:v>-3.5</x:v>
      </x:c>
      <x:c r="G133" s="34" t="n">
        <x:f>ABS(F133)</x:f>
        <x:v>3.5</x:v>
      </x:c>
      <x:c r="H133" s="34" t="n">
        <x:f>F133^2</x:f>
        <x:v>12.25</x:v>
      </x:c>
    </x:row>
    <x:row r="134">
      <x:c r="A134" t="str">
        <x:v>Nov-2022</x:v>
      </x:c>
      <x:c r="B134" t="str">
        <x:v>Real GDP (%)</x:v>
      </x:c>
      <x:c r="C134" s="33" t="n">
        <x:v>2023</x:v>
      </x:c>
      <x:c r="D134" s="34" t="n">
        <x:v>3</x:v>
      </x:c>
      <x:c r="E134" s="34" t="n">
        <x:v>1.8</x:v>
      </x:c>
      <x:c r="F134" s="34" t="n">
        <x:f>D134-E134</x:f>
        <x:v>1.2</x:v>
      </x:c>
      <x:c r="G134" s="34" t="n">
        <x:f>ABS(F134)</x:f>
        <x:v>1.2</x:v>
      </x:c>
      <x:c r="H134" s="34" t="n">
        <x:f>F134^2</x:f>
        <x:v>1.44</x:v>
      </x:c>
    </x:row>
    <x:row r="135">
      <x:c r="A135" t="str">
        <x:v>Nov-2022</x:v>
      </x:c>
      <x:c r="B135" t="str">
        <x:v>Real GDP (%)</x:v>
      </x:c>
      <x:c r="C135" s="33" t="n">
        <x:v>2024</x:v>
      </x:c>
      <x:c r="D135" s="34" t="n">
        <x:v>2.8</x:v>
      </x:c>
      <x:c r="E135" s="34" t="n">
        <x:v>-1.9</x:v>
      </x:c>
      <x:c r="F135" s="34" t="n">
        <x:f>D135-E135</x:f>
        <x:v>4.699999999999999</x:v>
      </x:c>
      <x:c r="G135" s="34" t="n">
        <x:f>ABS(F135)</x:f>
        <x:v>4.699999999999999</x:v>
      </x:c>
      <x:c r="H135" s="34" t="n">
        <x:f>F135^2</x:f>
        <x:v>22.089999999999993</x:v>
      </x:c>
    </x:row>
    <x:row r="136">
      <x:c r="A136" t="str">
        <x:v>Nov-2022</x:v>
      </x:c>
      <x:c r="B136" t="str">
        <x:v>Real GDP (%)</x:v>
      </x:c>
      <x:c r="C136" s="33" t="n">
        <x:v>2025</x:v>
      </x:c>
      <x:c r="D136" s="34" t="n">
        <x:v>2.8</x:v>
      </x:c>
      <x:c r="E136" s="34" t="n">
        <x:v>3.7</x:v>
      </x:c>
      <x:c r="F136" s="34" t="n">
        <x:f>D136-E136</x:f>
        <x:v>-0.9000000000000004</x:v>
      </x:c>
      <x:c r="G136" s="34" t="n">
        <x:f>ABS(F136)</x:f>
        <x:v>0.9000000000000004</x:v>
      </x:c>
      <x:c r="H136" s="34" t="n">
        <x:f>F136^2</x:f>
        <x:v>0.8100000000000006</x:v>
      </x:c>
    </x:row>
    <x:row r="137">
      <x:c r="A137" t="str">
        <x:v>Nov-2022</x:v>
      </x:c>
      <x:c r="B137" t="str">
        <x:v>Inflación promedio (%)</x:v>
      </x:c>
      <x:c r="C137" s="33" t="n">
        <x:v>2022</x:v>
      </x:c>
      <x:c r="D137" s="34" t="n">
        <x:v>3.5</x:v>
      </x:c>
      <x:c r="E137" s="34" t="n">
        <x:v>3.5</x:v>
      </x:c>
      <x:c r="F137" s="34" t="n">
        <x:f>D137-E137</x:f>
        <x:v>0</x:v>
      </x:c>
      <x:c r="G137" s="34" t="n">
        <x:f>ABS(F137)</x:f>
        <x:v>0</x:v>
      </x:c>
      <x:c r="H137" s="34" t="n">
        <x:f>F137^2</x:f>
        <x:v>0</x:v>
      </x:c>
    </x:row>
    <x:row r="138">
      <x:c r="A138" t="str">
        <x:v>Nov-2022</x:v>
      </x:c>
      <x:c r="B138" t="str">
        <x:v>Inflación promedio (%)</x:v>
      </x:c>
      <x:c r="C138" s="33" t="n">
        <x:v>2023</x:v>
      </x:c>
      <x:c r="D138" s="34" t="n">
        <x:v>2.5</x:v>
      </x:c>
      <x:c r="E138" s="34" t="n">
        <x:v>2.2</x:v>
      </x:c>
      <x:c r="F138" s="34" t="n">
        <x:f>D138-E138</x:f>
        <x:v>0.2999999999999998</x:v>
      </x:c>
      <x:c r="G138" s="34" t="n">
        <x:f>ABS(F138)</x:f>
        <x:v>0.2999999999999998</x:v>
      </x:c>
      <x:c r="H138" s="34" t="n">
        <x:f>F138^2</x:f>
        <x:v>0.0899999999999999</x:v>
      </x:c>
    </x:row>
    <x:row r="139">
      <x:c r="A139" t="str">
        <x:v>Nov-2022</x:v>
      </x:c>
      <x:c r="B139" t="str">
        <x:v>Inflación promedio (%)</x:v>
      </x:c>
      <x:c r="C139" s="33" t="n">
        <x:v>2024</x:v>
      </x:c>
      <x:c r="D139" s="34" t="n">
        <x:v>1.5</x:v>
      </x:c>
      <x:c r="E139" s="34" t="n">
        <x:v>1.5</x:v>
      </x:c>
      <x:c r="F139" s="34" t="n">
        <x:f>D139-E139</x:f>
        <x:v>0</x:v>
      </x:c>
      <x:c r="G139" s="34" t="n">
        <x:f>ABS(F139)</x:f>
        <x:v>0</x:v>
      </x:c>
      <x:c r="H139" s="34" t="n">
        <x:f>F139^2</x:f>
        <x:v>0</x:v>
      </x:c>
    </x:row>
    <x:row r="140">
      <x:c r="A140" t="str">
        <x:v>Nov-2022</x:v>
      </x:c>
      <x:c r="B140" t="str">
        <x:v>Inflación promedio (%)</x:v>
      </x:c>
      <x:c r="C140" s="33" t="n">
        <x:v>2025</x:v>
      </x:c>
      <x:c r="D140" s="34" t="n">
        <x:v>1.5</x:v>
      </x:c>
      <x:c r="E140" s="34" t="n">
        <x:v>0.7</x:v>
      </x:c>
      <x:c r="F140" s="34" t="n">
        <x:f>D140-E140</x:f>
        <x:v>0.8</x:v>
      </x:c>
      <x:c r="G140" s="34" t="n">
        <x:f>ABS(F140)</x:f>
        <x:v>0.8</x:v>
      </x:c>
      <x:c r="H140" s="34" t="n">
        <x:f>F140^2</x:f>
        <x:v>0.6400000000000001</x:v>
      </x:c>
    </x:row>
    <x:row r="141">
      <x:c r="A141" t="str">
        <x:v>Nov-2022</x:v>
      </x:c>
      <x:c r="B141" t="str">
        <x:v>Cuenta Corriente (% PIB)</x:v>
      </x:c>
      <x:c r="C141" s="33" t="n">
        <x:v>2022</x:v>
      </x:c>
      <x:c r="D141" s="34" t="n">
        <x:v>2.1</x:v>
      </x:c>
      <x:c r="E141" s="34" t="n">
        <x:v>1.8</x:v>
      </x:c>
      <x:c r="F141" s="34" t="n">
        <x:f>D141-E141</x:f>
        <x:v>0.30000000000000004</x:v>
      </x:c>
      <x:c r="G141" s="34" t="n">
        <x:f>ABS(F141)</x:f>
        <x:v>0.30000000000000004</x:v>
      </x:c>
      <x:c r="H141" s="34" t="n">
        <x:f>F141^2</x:f>
        <x:v>0.09000000000000002</x:v>
      </x:c>
    </x:row>
    <x:row r="142">
      <x:c r="A142" t="str">
        <x:v>Nov-2022</x:v>
      </x:c>
      <x:c r="B142" t="str">
        <x:v>Cuenta Corriente (% PIB)</x:v>
      </x:c>
      <x:c r="C142" s="33" t="n">
        <x:v>2023</x:v>
      </x:c>
      <x:c r="D142" s="34" t="n">
        <x:v>1.8</x:v>
      </x:c>
      <x:c r="E142" s="34" t="n">
        <x:v>2</x:v>
      </x:c>
      <x:c r="F142" s="34" t="n">
        <x:f>D142-E142</x:f>
        <x:v>-0.19999999999999996</x:v>
      </x:c>
      <x:c r="G142" s="34" t="n">
        <x:f>ABS(F142)</x:f>
        <x:v>0.19999999999999996</x:v>
      </x:c>
      <x:c r="H142" s="34" t="n">
        <x:f>F142^2</x:f>
        <x:v>0.03999999999999998</x:v>
      </x:c>
    </x:row>
    <x:row r="143">
      <x:c r="A143" t="str">
        <x:v>Nov-2022</x:v>
      </x:c>
      <x:c r="B143" t="str">
        <x:v>Cuenta Corriente (% PIB)</x:v>
      </x:c>
      <x:c r="C143" s="33" t="n">
        <x:v>2024</x:v>
      </x:c>
      <x:c r="D143" s="34" t="n">
        <x:v>1.9</x:v>
      </x:c>
      <x:c r="E143" s="34" t="n">
        <x:v>5.7</x:v>
      </x:c>
      <x:c r="F143" s="34" t="n">
        <x:f>D143-E143</x:f>
        <x:v>-3.8000000000000003</x:v>
      </x:c>
      <x:c r="G143" s="34" t="n">
        <x:f>ABS(F143)</x:f>
        <x:v>3.8000000000000003</x:v>
      </x:c>
      <x:c r="H143" s="34" t="n">
        <x:f>F143^2</x:f>
        <x:v>14.440000000000001</x:v>
      </x:c>
    </x:row>
    <x:row r="144">
      <x:c r="A144" t="str">
        <x:v>Nov-2022</x:v>
      </x:c>
      <x:c r="B144" t="str">
        <x:v>Cuenta Corriente (% PIB)</x:v>
      </x:c>
      <x:c r="C144" s="33" t="n">
        <x:v>2025</x:v>
      </x:c>
      <x:c r="D144" s="34" t="n">
        <x:v>2</x:v>
      </x:c>
      <x:c r="E144" s="34" t="n">
        <x:v>5.8</x:v>
      </x:c>
      <x:c r="F144" s="34" t="n">
        <x:f>D144-E144</x:f>
        <x:v>-3.8</x:v>
      </x:c>
      <x:c r="G144" s="34" t="n">
        <x:f>ABS(F144)</x:f>
        <x:v>3.8</x:v>
      </x:c>
      <x:c r="H144" s="34" t="n">
        <x:f>F144^2</x:f>
        <x:v>14.44</x:v>
      </x:c>
    </x:row>
    <x:row r="145">
      <x:c r="A145" t="str">
        <x:v>Nov-2022</x:v>
      </x:c>
      <x:c r="B145" t="str">
        <x:v>Balance Fiscal NFPS (% PIB)</x:v>
      </x:c>
      <x:c r="C145" s="33" t="n">
        <x:v>2022</x:v>
      </x:c>
      <x:c r="D145" s="34" t="n">
        <x:v>1</x:v>
      </x:c>
      <x:c r="E145" s="34" t="n">
        <x:v>0</x:v>
      </x:c>
      <x:c r="F145" s="34" t="n">
        <x:f>D145-E145</x:f>
        <x:v>1</x:v>
      </x:c>
      <x:c r="G145" s="34" t="n">
        <x:f>ABS(F145)</x:f>
        <x:v>1</x:v>
      </x:c>
      <x:c r="H145" s="34" t="n">
        <x:f>F145^2</x:f>
        <x:v>1</x:v>
      </x:c>
    </x:row>
    <x:row r="146">
      <x:c r="A146" t="str">
        <x:v>Nov-2022</x:v>
      </x:c>
      <x:c r="B146" t="str">
        <x:v>Balance Fiscal NFPS (% PIB)</x:v>
      </x:c>
      <x:c r="C146" s="33" t="n">
        <x:v>2023</x:v>
      </x:c>
      <x:c r="D146" s="34" t="n">
        <x:v>1.6</x:v>
      </x:c>
      <x:c r="E146" s="34" t="n">
        <x:v>-3.5</x:v>
      </x:c>
      <x:c r="F146" s="34" t="n">
        <x:f>D146-E146</x:f>
        <x:v>5.1</x:v>
      </x:c>
      <x:c r="G146" s="34" t="n">
        <x:f>ABS(F146)</x:f>
        <x:v>5.1</x:v>
      </x:c>
      <x:c r="H146" s="34" t="n">
        <x:f>F146^2</x:f>
        <x:v>26.009999999999998</x:v>
      </x:c>
    </x:row>
    <x:row r="147">
      <x:c r="A147" t="str">
        <x:v>Nov-2022</x:v>
      </x:c>
      <x:c r="B147" t="str">
        <x:v>Balance Fiscal NFPS (% PIB)</x:v>
      </x:c>
      <x:c r="C147" s="33" t="n">
        <x:v>2024</x:v>
      </x:c>
      <x:c r="D147" s="34" t="n">
        <x:v>2</x:v>
      </x:c>
      <x:c r="E147" s="34" t="n">
        <x:v>-1.3</x:v>
      </x:c>
      <x:c r="F147" s="34" t="n">
        <x:f>D147-E147</x:f>
        <x:v>3.3</x:v>
      </x:c>
      <x:c r="G147" s="34" t="n">
        <x:f>ABS(F147)</x:f>
        <x:v>3.3</x:v>
      </x:c>
      <x:c r="H147" s="34" t="n">
        <x:f>F147^2</x:f>
        <x:v>10.889999999999999</x:v>
      </x:c>
    </x:row>
    <x:row r="148">
      <x:c r="A148" t="str">
        <x:v>Nov-2022</x:v>
      </x:c>
      <x:c r="B148" t="str">
        <x:v>Balance Fiscal NFPS (% PIB)</x:v>
      </x:c>
      <x:c r="C148" s="33" t="n">
        <x:v>2025</x:v>
      </x:c>
      <x:c r="D148" s="34" t="n">
        <x:v>2.1</x:v>
      </x:c>
      <x:c r="E148" s="34" t="n">
        <x:v>-2.9</x:v>
      </x:c>
      <x:c r="F148" s="34" t="n">
        <x:f>D148-E148</x:f>
        <x:v>5</x:v>
      </x:c>
      <x:c r="G148" s="34" t="n">
        <x:f>ABS(F148)</x:f>
        <x:v>5</x:v>
      </x:c>
      <x:c r="H148" s="34" t="n">
        <x:f>F148^2</x:f>
        <x:v>25</x:v>
      </x:c>
    </x:row>
    <x:row r="149">
      <x:c r="A149" t="str">
        <x:v>Nov-2022</x:v>
      </x:c>
      <x:c r="B149" t="str">
        <x:v>Deuda Pública (% PIB)</x:v>
      </x:c>
      <x:c r="C149" s="33" t="n">
        <x:v>2022</x:v>
      </x:c>
      <x:c r="D149" s="34" t="n">
        <x:v>58.3</x:v>
      </x:c>
      <x:c r="E149" s="34" t="n">
        <x:v>57</x:v>
      </x:c>
      <x:c r="F149" s="34" t="n">
        <x:f>D149-E149</x:f>
        <x:v>1.2999999999999972</x:v>
      </x:c>
      <x:c r="G149" s="34" t="n">
        <x:f>ABS(F149)</x:f>
        <x:v>1.2999999999999972</x:v>
      </x:c>
      <x:c r="H149" s="34" t="n">
        <x:f>F149^2</x:f>
        <x:v>1.6899999999999926</x:v>
      </x:c>
    </x:row>
    <x:row r="150">
      <x:c r="A150" t="str">
        <x:v>Nov-2022</x:v>
      </x:c>
      <x:c r="B150" t="str">
        <x:v>Deuda Pública (% PIB)</x:v>
      </x:c>
      <x:c r="C150" s="33" t="n">
        <x:v>2023</x:v>
      </x:c>
      <x:c r="D150" s="34" t="n">
        <x:v>55.6</x:v>
      </x:c>
      <x:c r="E150" s="34" t="n">
        <x:v>54.5</x:v>
      </x:c>
      <x:c r="F150" s="34" t="n">
        <x:f>D150-E150</x:f>
        <x:v>1.1000000000000014</x:v>
      </x:c>
      <x:c r="G150" s="34" t="n">
        <x:f>ABS(F150)</x:f>
        <x:v>1.1000000000000014</x:v>
      </x:c>
      <x:c r="H150" s="34" t="n">
        <x:f>F150^2</x:f>
        <x:v>1.210000000000003</x:v>
      </x:c>
    </x:row>
    <x:row r="151">
      <x:c r="A151" t="str">
        <x:v>Nov-2022</x:v>
      </x:c>
      <x:c r="B151" t="str">
        <x:v>Deuda Pública (% PIB)</x:v>
      </x:c>
      <x:c r="C151" s="33" t="n">
        <x:v>2024</x:v>
      </x:c>
      <x:c r="D151" s="34" t="n">
        <x:v>53.1</x:v>
      </x:c>
      <x:c r="E151" s="34" t="n">
        <x:v>54.1</x:v>
      </x:c>
      <x:c r="F151" s="34" t="n">
        <x:f>D151-E151</x:f>
        <x:v>-1</x:v>
      </x:c>
      <x:c r="G151" s="34" t="n">
        <x:f>ABS(F151)</x:f>
        <x:v>1</x:v>
      </x:c>
      <x:c r="H151" s="34" t="n">
        <x:f>F151^2</x:f>
        <x:v>1</x:v>
      </x:c>
    </x:row>
    <x:row r="152">
      <x:c r="A152" t="str">
        <x:v>Nov-2022</x:v>
      </x:c>
      <x:c r="B152" t="str">
        <x:v>Deuda Pública (% PIB)</x:v>
      </x:c>
      <x:c r="C152" s="33" t="n">
        <x:v>2025</x:v>
      </x:c>
      <x:c r="D152" s="34" t="n">
        <x:v>49.3</x:v>
      </x:c>
      <x:c r="E152" s="34" t="n">
        <x:v>54.3</x:v>
      </x:c>
      <x:c r="F152" s="34" t="n">
        <x:f>D152-E152</x:f>
        <x:v>-5</x:v>
      </x:c>
      <x:c r="G152" s="34" t="n">
        <x:f>ABS(F152)</x:f>
        <x:v>5</x:v>
      </x:c>
      <x:c r="H152" s="34" t="n">
        <x:f>F152^2</x:f>
        <x:v>25</x:v>
      </x:c>
    </x:row>
    <x:row r="153">
      <x:c r="A153" t="str">
        <x:v>Nov-2022</x:v>
      </x:c>
      <x:c r="B153" t="str">
        <x:v>Precio Petróleo Ecuador (USD/bbl)</x:v>
      </x:c>
      <x:c r="C153" s="33" t="n">
        <x:v>2022</x:v>
      </x:c>
      <x:c r="D153" s="34" t="n">
        <x:v>87.8</x:v>
      </x:c>
      <x:c r="E153" s="34" t="n">
        <x:v>85.8</x:v>
      </x:c>
      <x:c r="F153" s="34" t="n">
        <x:f>D153-E153</x:f>
        <x:v>2</x:v>
      </x:c>
      <x:c r="G153" s="34" t="n">
        <x:f>ABS(F153)</x:f>
        <x:v>2</x:v>
      </x:c>
      <x:c r="H153" s="34" t="n">
        <x:f>F153^2</x:f>
        <x:v>4</x:v>
      </x:c>
    </x:row>
    <x:row r="154">
      <x:c r="A154" t="str">
        <x:v>Nov-2022</x:v>
      </x:c>
      <x:c r="B154" t="str">
        <x:v>Precio Petróleo Ecuador (USD/bbl)</x:v>
      </x:c>
      <x:c r="C154" s="33" t="n">
        <x:v>2023</x:v>
      </x:c>
      <x:c r="D154" s="34" t="n">
        <x:v>76</x:v>
      </x:c>
      <x:c r="E154" s="34" t="n">
        <x:v>68</x:v>
      </x:c>
      <x:c r="F154" s="34" t="n">
        <x:f>D154-E154</x:f>
        <x:v>8</x:v>
      </x:c>
      <x:c r="G154" s="34" t="n">
        <x:f>ABS(F154)</x:f>
        <x:v>8</x:v>
      </x:c>
      <x:c r="H154" s="34" t="n">
        <x:f>F154^2</x:f>
        <x:v>64</x:v>
      </x:c>
    </x:row>
    <x:row r="155">
      <x:c r="A155" t="str">
        <x:v>Nov-2022</x:v>
      </x:c>
      <x:c r="B155" t="str">
        <x:v>Precio Petróleo Ecuador (USD/bbl)</x:v>
      </x:c>
      <x:c r="C155" s="33" t="n">
        <x:v>2024</x:v>
      </x:c>
      <x:c r="D155" s="34" t="n">
        <x:v>72.6</x:v>
      </x:c>
      <x:c r="E155" s="34" t="n">
        <x:v>68.5</x:v>
      </x:c>
      <x:c r="F155" s="34" t="n">
        <x:f>D155-E155</x:f>
        <x:v>4.099999999999994</x:v>
      </x:c>
      <x:c r="G155" s="34" t="n">
        <x:f>ABS(F155)</x:f>
        <x:v>4.099999999999994</x:v>
      </x:c>
      <x:c r="H155" s="34" t="n">
        <x:f>F155^2</x:f>
        <x:v>16.809999999999953</x:v>
      </x:c>
    </x:row>
    <x:row r="156">
      <x:c r="A156" t="str">
        <x:v>Nov-2022</x:v>
      </x:c>
      <x:c r="B156" t="str">
        <x:v>Precio Petróleo Ecuador (USD/bbl)</x:v>
      </x:c>
      <x:c r="C156" s="33" t="n">
        <x:v>2025</x:v>
      </x:c>
      <x:c r="D156" s="34" t="n">
        <x:v>69.7</x:v>
      </x:c>
      <x:c r="E156" s="34" t="n">
        <x:v>58.6</x:v>
      </x:c>
      <x:c r="F156" s="34" t="n">
        <x:f>D156-E156</x:f>
        <x:v>11.100000000000001</x:v>
      </x:c>
      <x:c r="G156" s="34" t="n">
        <x:f>ABS(F156)</x:f>
        <x:v>11.100000000000001</x:v>
      </x:c>
      <x:c r="H156" s="34" t="n">
        <x:f>F156^2</x:f>
        <x:v>123.21000000000004</x:v>
      </x:c>
    </x:row>
    <x:row r="157">
      <x:c r="A157" t="str">
        <x:v>Nov-2022</x:v>
      </x:c>
      <x:c r="B157" t="str">
        <x:v>PIB Nominal (USD mn)</x:v>
      </x:c>
      <x:c r="C157" s="33" t="n">
        <x:v>2022</x:v>
      </x:c>
      <x:c r="D157" s="34" t="n">
        <x:v>116076</x:v>
      </x:c>
      <x:c r="E157" s="34" t="n">
        <x:v>116586</x:v>
      </x:c>
      <x:c r="F157" s="34" t="n">
        <x:f>D157-E157</x:f>
        <x:v>-510</x:v>
      </x:c>
      <x:c r="G157" s="34" t="n">
        <x:f>ABS(F157)</x:f>
        <x:v>510</x:v>
      </x:c>
      <x:c r="H157" s="34" t="n">
        <x:f>F157^2</x:f>
        <x:v>260100</x:v>
      </x:c>
    </x:row>
    <x:row r="158">
      <x:c r="A158" t="str">
        <x:v>Nov-2022</x:v>
      </x:c>
      <x:c r="B158" t="str">
        <x:v>PIB Nominal (USD mn)</x:v>
      </x:c>
      <x:c r="C158" s="33" t="n">
        <x:v>2023</x:v>
      </x:c>
      <x:c r="D158" s="34" t="n">
        <x:v>121106</x:v>
      </x:c>
      <x:c r="E158" s="34" t="n">
        <x:v>120793</x:v>
      </x:c>
      <x:c r="F158" s="34" t="n">
        <x:f>D158-E158</x:f>
        <x:v>313</x:v>
      </x:c>
      <x:c r="G158" s="34" t="n">
        <x:f>ABS(F158)</x:f>
        <x:v>313</x:v>
      </x:c>
      <x:c r="H158" s="34" t="n">
        <x:f>F158^2</x:f>
        <x:v>97969</x:v>
      </x:c>
    </x:row>
    <x:row r="159">
      <x:c r="A159" t="str">
        <x:v>Nov-2022</x:v>
      </x:c>
      <x:c r="B159" t="str">
        <x:v>PIB Nominal (USD mn)</x:v>
      </x:c>
      <x:c r="C159" s="33" t="n">
        <x:v>2024</x:v>
      </x:c>
      <x:c r="D159" s="34" t="n">
        <x:v>126093</x:v>
      </x:c>
      <x:c r="E159" s="34" t="n">
        <x:v>123802</x:v>
      </x:c>
      <x:c r="F159" s="34" t="n">
        <x:f>D159-E159</x:f>
        <x:v>2291</x:v>
      </x:c>
      <x:c r="G159" s="34" t="n">
        <x:f>ABS(F159)</x:f>
        <x:v>2291</x:v>
      </x:c>
      <x:c r="H159" s="34" t="n">
        <x:f>F159^2</x:f>
        <x:v>5248681</x:v>
      </x:c>
    </x:row>
    <x:row r="160">
      <x:c r="A160" t="str">
        <x:v>Nov-2022</x:v>
      </x:c>
      <x:c r="B160" t="str">
        <x:v>PIB Nominal (USD mn)</x:v>
      </x:c>
      <x:c r="C160" s="33" t="n">
        <x:v>2025</x:v>
      </x:c>
      <x:c r="D160" s="34" t="n">
        <x:v>131036</x:v>
      </x:c>
      <x:c r="E160" s="34" t="n">
        <x:v>130321</x:v>
      </x:c>
      <x:c r="F160" s="34" t="n">
        <x:f>D160-E160</x:f>
        <x:v>715</x:v>
      </x:c>
      <x:c r="G160" s="34" t="n">
        <x:f>ABS(F160)</x:f>
        <x:v>715</x:v>
      </x:c>
      <x:c r="H160" s="34" t="n">
        <x:f>F160^2</x:f>
        <x:v>511225</x:v>
      </x:c>
    </x:row>
    <x:row r="161">
      <x:c r="A161" t="str">
        <x:v>Nov-2022</x:v>
      </x:c>
      <x:c r="B161" t="str">
        <x:v>Reservas Internacionales (USD mn)</x:v>
      </x:c>
      <x:c r="C161" s="33" t="n">
        <x:v>2022</x:v>
      </x:c>
      <x:c r="D161" s="34" t="n">
        <x:v>9693</x:v>
      </x:c>
      <x:c r="E161" s="34" t="n">
        <x:v>8459</x:v>
      </x:c>
      <x:c r="F161" s="34" t="n">
        <x:f>D161-E161</x:f>
        <x:v>1234</x:v>
      </x:c>
      <x:c r="G161" s="34" t="n">
        <x:f>ABS(F161)</x:f>
        <x:v>1234</x:v>
      </x:c>
      <x:c r="H161" s="34" t="n">
        <x:f>F161^2</x:f>
        <x:v>1522756</x:v>
      </x:c>
    </x:row>
    <x:row r="162">
      <x:c r="A162" t="str">
        <x:v>Nov-2022</x:v>
      </x:c>
      <x:c r="B162" t="str">
        <x:v>Reservas Internacionales (USD mn)</x:v>
      </x:c>
      <x:c r="C162" s="33" t="n">
        <x:v>2023</x:v>
      </x:c>
      <x:c r="D162" s="34" t="n">
        <x:v>12050</x:v>
      </x:c>
      <x:c r="E162" s="34" t="n">
        <x:v>4455</x:v>
      </x:c>
      <x:c r="F162" s="34" t="n">
        <x:f>D162-E162</x:f>
        <x:v>7595</x:v>
      </x:c>
      <x:c r="G162" s="34" t="n">
        <x:f>ABS(F162)</x:f>
        <x:v>7595</x:v>
      </x:c>
      <x:c r="H162" s="34" t="n">
        <x:f>F162^2</x:f>
        <x:v>57684025</x:v>
      </x:c>
    </x:row>
    <x:row r="163">
      <x:c r="A163" t="str">
        <x:v>Nov-2022</x:v>
      </x:c>
      <x:c r="B163" t="str">
        <x:v>Reservas Internacionales (USD mn)</x:v>
      </x:c>
      <x:c r="C163" s="33" t="n">
        <x:v>2024</x:v>
      </x:c>
      <x:c r="D163" s="34" t="n">
        <x:v>14543</x:v>
      </x:c>
      <x:c r="E163" s="34" t="n">
        <x:v>6908</x:v>
      </x:c>
      <x:c r="F163" s="34" t="n">
        <x:f>D163-E163</x:f>
        <x:v>7635</x:v>
      </x:c>
      <x:c r="G163" s="34" t="n">
        <x:f>ABS(F163)</x:f>
        <x:v>7635</x:v>
      </x:c>
      <x:c r="H163" s="34" t="n">
        <x:f>F163^2</x:f>
        <x:v>58293225</x:v>
      </x:c>
    </x:row>
    <x:row r="164">
      <x:c r="A164" t="str">
        <x:v>Nov-2022</x:v>
      </x:c>
      <x:c r="B164" t="str">
        <x:v>Reservas Internacionales (USD mn)</x:v>
      </x:c>
      <x:c r="C164" s="33" t="n">
        <x:v>2025</x:v>
      </x:c>
      <x:c r="D164" s="34" t="n">
        <x:v>16360</x:v>
      </x:c>
      <x:c r="E164" s="34" t="n">
        <x:v>9803</x:v>
      </x:c>
      <x:c r="F164" s="34" t="n">
        <x:f>D164-E164</x:f>
        <x:v>6557</x:v>
      </x:c>
      <x:c r="G164" s="34" t="n">
        <x:f>ABS(F164)</x:f>
        <x:v>6557</x:v>
      </x:c>
      <x:c r="H164" s="34" t="n">
        <x:f>F164^2</x:f>
        <x:v>42994249</x:v>
      </x:c>
    </x:row>
    <x:row r="165">
      <x:c r="A165" t="str">
        <x:v>Dic-2024</x:v>
      </x:c>
      <x:c r="B165" t="str">
        <x:v>Real GDP (%)</x:v>
      </x:c>
      <x:c r="C165" s="33" t="n">
        <x:v>2024</x:v>
      </x:c>
      <x:c r="D165" s="34" t="n">
        <x:v>-0.4</x:v>
      </x:c>
      <x:c r="E165" s="34" t="n">
        <x:v>-1.9</x:v>
      </x:c>
      <x:c r="F165" s="34" t="n">
        <x:f>D165-E165</x:f>
        <x:v>1.5</x:v>
      </x:c>
      <x:c r="G165" s="34" t="n">
        <x:f>ABS(F165)</x:f>
        <x:v>1.5</x:v>
      </x:c>
      <x:c r="H165" s="34" t="n">
        <x:f>F165^2</x:f>
        <x:v>2.25</x:v>
      </x:c>
    </x:row>
    <x:row r="166">
      <x:c r="A166" t="str">
        <x:v>Dic-2024</x:v>
      </x:c>
      <x:c r="B166" t="str">
        <x:v>Real GDP (%)</x:v>
      </x:c>
      <x:c r="C166" s="33" t="n">
        <x:v>2025</x:v>
      </x:c>
      <x:c r="D166" s="34" t="n">
        <x:v>1.6</x:v>
      </x:c>
      <x:c r="E166" s="34" t="n">
        <x:v>3.7</x:v>
      </x:c>
      <x:c r="F166" s="34" t="n">
        <x:f>D166-E166</x:f>
        <x:v>-2.1</x:v>
      </x:c>
      <x:c r="G166" s="34" t="n">
        <x:f>ABS(F166)</x:f>
        <x:v>2.1</x:v>
      </x:c>
      <x:c r="H166" s="34" t="n">
        <x:f>F166^2</x:f>
        <x:v>4.41</x:v>
      </x:c>
    </x:row>
    <x:row r="167">
      <x:c r="A167" t="str">
        <x:v>Dic-2024</x:v>
      </x:c>
      <x:c r="B167" t="str">
        <x:v>Inflación promedio (%)</x:v>
      </x:c>
      <x:c r="C167" s="33" t="n">
        <x:v>2024</x:v>
      </x:c>
      <x:c r="D167" s="34" t="n">
        <x:v>1.9</x:v>
      </x:c>
      <x:c r="E167" s="34" t="n">
        <x:v>1.5</x:v>
      </x:c>
      <x:c r="F167" s="34" t="n">
        <x:f>D167-E167</x:f>
        <x:v>0.3999999999999999</x:v>
      </x:c>
      <x:c r="G167" s="34" t="n">
        <x:f>ABS(F167)</x:f>
        <x:v>0.3999999999999999</x:v>
      </x:c>
      <x:c r="H167" s="34" t="n">
        <x:f>F167^2</x:f>
        <x:v>0.15999999999999992</x:v>
      </x:c>
    </x:row>
    <x:row r="168">
      <x:c r="A168" t="str">
        <x:v>Dic-2024</x:v>
      </x:c>
      <x:c r="B168" t="str">
        <x:v>Inflación promedio (%)</x:v>
      </x:c>
      <x:c r="C168" s="33" t="n">
        <x:v>2025</x:v>
      </x:c>
      <x:c r="D168" s="34" t="n">
        <x:v>2.2</x:v>
      </x:c>
      <x:c r="E168" s="34" t="n">
        <x:v>0.7</x:v>
      </x:c>
      <x:c r="F168" s="34" t="n">
        <x:f>D168-E168</x:f>
        <x:v>1.5000000000000002</x:v>
      </x:c>
      <x:c r="G168" s="34" t="n">
        <x:f>ABS(F168)</x:f>
        <x:v>1.5000000000000002</x:v>
      </x:c>
      <x:c r="H168" s="34" t="n">
        <x:f>F168^2</x:f>
        <x:v>2.250000000000001</x:v>
      </x:c>
    </x:row>
    <x:row r="169">
      <x:c r="A169" t="str">
        <x:v>Dic-2024</x:v>
      </x:c>
      <x:c r="B169" t="str">
        <x:v>Cuenta Corriente (% PIB)</x:v>
      </x:c>
      <x:c r="C169" s="33" t="n">
        <x:v>2024</x:v>
      </x:c>
      <x:c r="D169" s="34" t="n">
        <x:v>4.4</x:v>
      </x:c>
      <x:c r="E169" s="34" t="n">
        <x:v>5.7</x:v>
      </x:c>
      <x:c r="F169" s="34" t="n">
        <x:f>D169-E169</x:f>
        <x:v>-1.2999999999999998</x:v>
      </x:c>
      <x:c r="G169" s="34" t="n">
        <x:f>ABS(F169)</x:f>
        <x:v>1.2999999999999998</x:v>
      </x:c>
      <x:c r="H169" s="34" t="n">
        <x:f>F169^2</x:f>
        <x:v>1.6899999999999995</x:v>
      </x:c>
    </x:row>
    <x:row r="170">
      <x:c r="A170" t="str">
        <x:v>Dic-2024</x:v>
      </x:c>
      <x:c r="B170" t="str">
        <x:v>Cuenta Corriente (% PIB)</x:v>
      </x:c>
      <x:c r="C170" s="33" t="n">
        <x:v>2025</x:v>
      </x:c>
      <x:c r="D170" s="34" t="n">
        <x:v>3.1</x:v>
      </x:c>
      <x:c r="E170" s="34" t="n">
        <x:v>5.8</x:v>
      </x:c>
      <x:c r="F170" s="34" t="n">
        <x:f>D170-E170</x:f>
        <x:v>-2.6999999999999997</x:v>
      </x:c>
      <x:c r="G170" s="34" t="n">
        <x:f>ABS(F170)</x:f>
        <x:v>2.6999999999999997</x:v>
      </x:c>
      <x:c r="H170" s="34" t="n">
        <x:f>F170^2</x:f>
        <x:v>7.289999999999998</x:v>
      </x:c>
    </x:row>
    <x:row r="171">
      <x:c r="A171" t="str">
        <x:v>Dic-2024</x:v>
      </x:c>
      <x:c r="B171" t="str">
        <x:v>Balance Fiscal NFPS (% PIB)</x:v>
      </x:c>
      <x:c r="C171" s="33" t="n">
        <x:v>2024</x:v>
      </x:c>
      <x:c r="D171" s="34" t="n">
        <x:v>-1.8</x:v>
      </x:c>
      <x:c r="E171" s="34" t="n">
        <x:v>-1.3</x:v>
      </x:c>
      <x:c r="F171" s="34" t="n">
        <x:f>D171-E171</x:f>
        <x:v>-0.5</x:v>
      </x:c>
      <x:c r="G171" s="34" t="n">
        <x:f>ABS(F171)</x:f>
        <x:v>0.5</x:v>
      </x:c>
      <x:c r="H171" s="34" t="n">
        <x:f>F171^2</x:f>
        <x:v>0.25</x:v>
      </x:c>
    </x:row>
    <x:row r="172">
      <x:c r="A172" t="str">
        <x:v>Dic-2024</x:v>
      </x:c>
      <x:c r="B172" t="str">
        <x:v>Balance Fiscal NFPS (% PIB)</x:v>
      </x:c>
      <x:c r="C172" s="33" t="n">
        <x:v>2025</x:v>
      </x:c>
      <x:c r="D172" s="34" t="n">
        <x:v>-1.3</x:v>
      </x:c>
      <x:c r="E172" s="34" t="n">
        <x:v>-2.9</x:v>
      </x:c>
      <x:c r="F172" s="34" t="n">
        <x:f>D172-E172</x:f>
        <x:v>1.5999999999999999</x:v>
      </x:c>
      <x:c r="G172" s="34" t="n">
        <x:f>ABS(F172)</x:f>
        <x:v>1.5999999999999999</x:v>
      </x:c>
      <x:c r="H172" s="34" t="n">
        <x:f>F172^2</x:f>
        <x:v>2.5599999999999996</x:v>
      </x:c>
    </x:row>
    <x:row r="173">
      <x:c r="A173" t="str">
        <x:v>Dic-2024</x:v>
      </x:c>
      <x:c r="B173" t="str">
        <x:v>Deuda Pública (% PIB)</x:v>
      </x:c>
      <x:c r="C173" s="33" t="n">
        <x:v>2024</x:v>
      </x:c>
      <x:c r="D173" s="34" t="n">
        <x:v>56.8</x:v>
      </x:c>
      <x:c r="E173" s="34" t="n">
        <x:v>54.1</x:v>
      </x:c>
      <x:c r="F173" s="34" t="n">
        <x:f>D173-E173</x:f>
        <x:v>2.6999999999999957</x:v>
      </x:c>
      <x:c r="G173" s="34" t="n">
        <x:f>ABS(F173)</x:f>
        <x:v>2.6999999999999957</x:v>
      </x:c>
      <x:c r="H173" s="34" t="n">
        <x:f>F173^2</x:f>
        <x:v>7.289999999999977</x:v>
      </x:c>
    </x:row>
    <x:row r="174">
      <x:c r="A174" t="str">
        <x:v>Dic-2024</x:v>
      </x:c>
      <x:c r="B174" t="str">
        <x:v>Deuda Pública (% PIB)</x:v>
      </x:c>
      <x:c r="C174" s="33" t="n">
        <x:v>2025</x:v>
      </x:c>
      <x:c r="D174" s="34" t="n">
        <x:v>56.8</x:v>
      </x:c>
      <x:c r="E174" s="34" t="n">
        <x:v>54.3</x:v>
      </x:c>
      <x:c r="F174" s="34" t="n">
        <x:f>D174-E174</x:f>
        <x:v>2.5</x:v>
      </x:c>
      <x:c r="G174" s="34" t="n">
        <x:f>ABS(F174)</x:f>
        <x:v>2.5</x:v>
      </x:c>
      <x:c r="H174" s="34" t="n">
        <x:f>F174^2</x:f>
        <x:v>6.25</x:v>
      </x:c>
    </x:row>
    <x:row r="175">
      <x:c r="A175" t="str">
        <x:v>Dic-2024</x:v>
      </x:c>
      <x:c r="B175" t="str">
        <x:v>Precio Petróleo Ecuador (USD/bbl)</x:v>
      </x:c>
      <x:c r="C175" s="33" t="n">
        <x:v>2024</x:v>
      </x:c>
      <x:c r="D175" s="34" t="n">
        <x:v>68.5</x:v>
      </x:c>
      <x:c r="E175" s="34" t="n">
        <x:v>68.5</x:v>
      </x:c>
      <x:c r="F175" s="34" t="n">
        <x:f>D175-E175</x:f>
        <x:v>0</x:v>
      </x:c>
      <x:c r="G175" s="34" t="n">
        <x:f>ABS(F175)</x:f>
        <x:v>0</x:v>
      </x:c>
      <x:c r="H175" s="34" t="n">
        <x:f>F175^2</x:f>
        <x:v>0</x:v>
      </x:c>
    </x:row>
    <x:row r="176">
      <x:c r="A176" t="str">
        <x:v>Dic-2024</x:v>
      </x:c>
      <x:c r="B176" t="str">
        <x:v>Precio Petróleo Ecuador (USD/bbl)</x:v>
      </x:c>
      <x:c r="C176" s="33" t="n">
        <x:v>2025</x:v>
      </x:c>
      <x:c r="D176" s="34" t="n">
        <x:v>63.2</x:v>
      </x:c>
      <x:c r="E176" s="34" t="n">
        <x:v>58.6</x:v>
      </x:c>
      <x:c r="F176" s="34" t="n">
        <x:f>D176-E176</x:f>
        <x:v>4.600000000000001</x:v>
      </x:c>
      <x:c r="G176" s="34" t="n">
        <x:f>ABS(F176)</x:f>
        <x:v>4.600000000000001</x:v>
      </x:c>
      <x:c r="H176" s="34" t="n">
        <x:f>F176^2</x:f>
        <x:v>21.160000000000014</x:v>
      </x:c>
    </x:row>
    <x:row r="177">
      <x:c r="A177" t="str">
        <x:v>Dic-2024</x:v>
      </x:c>
      <x:c r="B177" t="str">
        <x:v>PIB Nominal (USD mn)</x:v>
      </x:c>
      <x:c r="C177" s="33" t="n">
        <x:v>2024</x:v>
      </x:c>
      <x:c r="D177" s="34" t="n">
        <x:v>120433</x:v>
      </x:c>
      <x:c r="E177" s="34" t="n">
        <x:v>123802</x:v>
      </x:c>
      <x:c r="F177" s="34" t="n">
        <x:f>D177-E177</x:f>
        <x:v>-3369</x:v>
      </x:c>
      <x:c r="G177" s="34" t="n">
        <x:f>ABS(F177)</x:f>
        <x:v>3369</x:v>
      </x:c>
      <x:c r="H177" s="34" t="n">
        <x:f>F177^2</x:f>
        <x:v>11350161</x:v>
      </x:c>
    </x:row>
    <x:row r="178">
      <x:c r="A178" t="str">
        <x:v>Dic-2024</x:v>
      </x:c>
      <x:c r="B178" t="str">
        <x:v>PIB Nominal (USD mn)</x:v>
      </x:c>
      <x:c r="C178" s="33" t="n">
        <x:v>2025</x:v>
      </x:c>
      <x:c r="D178" s="34" t="n">
        <x:v>125038</x:v>
      </x:c>
      <x:c r="E178" s="34" t="n">
        <x:v>130321</x:v>
      </x:c>
      <x:c r="F178" s="34" t="n">
        <x:f>D178-E178</x:f>
        <x:v>-5283</x:v>
      </x:c>
      <x:c r="G178" s="34" t="n">
        <x:f>ABS(F178)</x:f>
        <x:v>5283</x:v>
      </x:c>
      <x:c r="H178" s="34" t="n">
        <x:f>F178^2</x:f>
        <x:v>27910089</x:v>
      </x:c>
    </x:row>
    <x:row r="179">
      <x:c r="A179" t="str">
        <x:v>Dic-2024</x:v>
      </x:c>
      <x:c r="B179" t="str">
        <x:v>Reservas Internacionales (USD mn)</x:v>
      </x:c>
      <x:c r="C179" s="33" t="n">
        <x:v>2024</x:v>
      </x:c>
      <x:c r="D179" s="34" t="n">
        <x:v>7648</x:v>
      </x:c>
      <x:c r="E179" s="34" t="n">
        <x:v>6908</x:v>
      </x:c>
      <x:c r="F179" s="34" t="n">
        <x:f>D179-E179</x:f>
        <x:v>740</x:v>
      </x:c>
      <x:c r="G179" s="34" t="n">
        <x:f>ABS(F179)</x:f>
        <x:v>740</x:v>
      </x:c>
      <x:c r="H179" s="34" t="n">
        <x:f>F179^2</x:f>
        <x:v>547600</x:v>
      </x:c>
    </x:row>
    <x:row r="180">
      <x:c r="A180" t="str">
        <x:v>Dic-2024</x:v>
      </x:c>
      <x:c r="B180" t="str">
        <x:v>Reservas Internacionales (USD mn)</x:v>
      </x:c>
      <x:c r="C180" s="33" t="n">
        <x:v>2025</x:v>
      </x:c>
      <x:c r="D180" s="34" t="n">
        <x:v>10544</x:v>
      </x:c>
      <x:c r="E180" s="34" t="n">
        <x:v>9803</x:v>
      </x:c>
      <x:c r="F180" s="34" t="n">
        <x:f>D180-E180</x:f>
        <x:v>741</x:v>
      </x:c>
      <x:c r="G180" s="34" t="n">
        <x:f>ABS(F180)</x:f>
        <x:v>741</x:v>
      </x:c>
      <x:c r="H180" s="34" t="n">
        <x:f>F180^2</x:f>
        <x:v>549081</x:v>
      </x:c>
    </x:row>
    <x:row r="181">
      <x:c r="A181" t="str">
        <x:v>Dic-2025</x:v>
      </x:c>
      <x:c r="B181" t="str">
        <x:v>Real GDP (%)</x:v>
      </x:c>
      <x:c r="C181" s="33" t="n">
        <x:v>2025</x:v>
      </x:c>
      <x:c r="D181" s="34" t="n">
        <x:v>3.4</x:v>
      </x:c>
      <x:c r="E181" s="34" t="n">
        <x:v>3.7</x:v>
      </x:c>
      <x:c r="F181" s="34" t="n">
        <x:f>D181-E181</x:f>
        <x:v>-0.30000000000000027</x:v>
      </x:c>
      <x:c r="G181" s="34" t="n">
        <x:f>ABS(F181)</x:f>
        <x:v>0.30000000000000027</x:v>
      </x:c>
      <x:c r="H181" s="34" t="n">
        <x:f>F181^2</x:f>
        <x:v>0.09000000000000016</x:v>
      </x:c>
    </x:row>
    <x:row r="182">
      <x:c r="A182" t="str">
        <x:v>Dic-2025</x:v>
      </x:c>
      <x:c r="B182" t="str">
        <x:v>Inflación promedio (%)</x:v>
      </x:c>
      <x:c r="C182" s="33" t="n">
        <x:v>2025</x:v>
      </x:c>
      <x:c r="D182" s="34" t="n">
        <x:v>0.9</x:v>
      </x:c>
      <x:c r="E182" s="34" t="n">
        <x:v>0.7</x:v>
      </x:c>
      <x:c r="F182" s="34" t="n">
        <x:f>D182-E182</x:f>
        <x:v>0.20000000000000007</x:v>
      </x:c>
      <x:c r="G182" s="34" t="n">
        <x:f>ABS(F182)</x:f>
        <x:v>0.20000000000000007</x:v>
      </x:c>
      <x:c r="H182" s="34" t="n">
        <x:f>F182^2</x:f>
        <x:v>0.04000000000000003</x:v>
      </x:c>
    </x:row>
    <x:row r="183">
      <x:c r="A183" t="str">
        <x:v>Dic-2025</x:v>
      </x:c>
      <x:c r="B183" t="str">
        <x:v>Cuenta Corriente (% PIB)</x:v>
      </x:c>
      <x:c r="C183" s="33" t="n">
        <x:v>2025</x:v>
      </x:c>
      <x:c r="D183" s="34" t="n">
        <x:v>5.1</x:v>
      </x:c>
      <x:c r="E183" s="34" t="n">
        <x:v>5.8</x:v>
      </x:c>
      <x:c r="F183" s="34" t="n">
        <x:f>D183-E183</x:f>
        <x:v>-0.7000000000000002</x:v>
      </x:c>
      <x:c r="G183" s="34" t="n">
        <x:f>ABS(F183)</x:f>
        <x:v>0.7000000000000002</x:v>
      </x:c>
      <x:c r="H183" s="34" t="n">
        <x:f>F183^2</x:f>
        <x:v>0.49000000000000027</x:v>
      </x:c>
    </x:row>
    <x:row r="184">
      <x:c r="A184" t="str">
        <x:v>Dic-2025</x:v>
      </x:c>
      <x:c r="B184" t="str">
        <x:v>Balance Fiscal NFPS (% PIB)</x:v>
      </x:c>
      <x:c r="C184" s="33" t="n">
        <x:v>2025</x:v>
      </x:c>
      <x:c r="D184" s="34" t="n">
        <x:v>-1.2</x:v>
      </x:c>
      <x:c r="E184" s="34" t="n">
        <x:v>-2.9</x:v>
      </x:c>
      <x:c r="F184" s="34" t="n">
        <x:f>D184-E184</x:f>
        <x:v>1.7</x:v>
      </x:c>
      <x:c r="G184" s="34" t="n">
        <x:f>ABS(F184)</x:f>
        <x:v>1.7</x:v>
      </x:c>
      <x:c r="H184" s="34" t="n">
        <x:f>F184^2</x:f>
        <x:v>2.8899999999999997</x:v>
      </x:c>
    </x:row>
    <x:row r="185">
      <x:c r="A185" t="str">
        <x:v>Dic-2025</x:v>
      </x:c>
      <x:c r="B185" t="str">
        <x:v>Deuda Pública (% PIB)</x:v>
      </x:c>
      <x:c r="C185" s="33" t="n">
        <x:v>2025</x:v>
      </x:c>
      <x:c r="D185" s="34" t="n">
        <x:v>53.2</x:v>
      </x:c>
      <x:c r="E185" s="34" t="n">
        <x:v>54.3</x:v>
      </x:c>
      <x:c r="F185" s="34" t="n">
        <x:f>D185-E185</x:f>
        <x:v>-1.0999999999999943</x:v>
      </x:c>
      <x:c r="G185" s="34" t="n">
        <x:f>ABS(F185)</x:f>
        <x:v>1.0999999999999943</x:v>
      </x:c>
      <x:c r="H185" s="34" t="n">
        <x:f>F185^2</x:f>
        <x:v>1.2099999999999875</x:v>
      </x:c>
    </x:row>
    <x:row r="186">
      <x:c r="A186" t="str">
        <x:v>Dic-2025</x:v>
      </x:c>
      <x:c r="B186" t="str">
        <x:v>Precio Petróleo Ecuador (USD/bbl)</x:v>
      </x:c>
      <x:c r="C186" s="33" t="n">
        <x:v>2025</x:v>
      </x:c>
      <x:c r="D186" s="34" t="n">
        <x:v>58.9</x:v>
      </x:c>
      <x:c r="E186" s="34" t="n">
        <x:v>58.6</x:v>
      </x:c>
      <x:c r="F186" s="34" t="n">
        <x:f>D186-E186</x:f>
        <x:v>0.29999999999999716</x:v>
      </x:c>
      <x:c r="G186" s="34" t="n">
        <x:f>ABS(F186)</x:f>
        <x:v>0.29999999999999716</x:v>
      </x:c>
      <x:c r="H186" s="34" t="n">
        <x:f>F186^2</x:f>
        <x:v>0.08999999999999829</x:v>
      </x:c>
    </x:row>
    <x:row r="187">
      <x:c r="A187" t="str">
        <x:v>Dic-2025</x:v>
      </x:c>
      <x:c r="B187" t="str">
        <x:v>PIB Nominal (USD mn)</x:v>
      </x:c>
      <x:c r="C187" s="33" t="n">
        <x:v>2025</x:v>
      </x:c>
      <x:c r="D187" s="34" t="n">
        <x:v>130548</x:v>
      </x:c>
      <x:c r="E187" s="34" t="n">
        <x:v>130321</x:v>
      </x:c>
      <x:c r="F187" s="34" t="n">
        <x:f>D187-E187</x:f>
        <x:v>227</x:v>
      </x:c>
      <x:c r="G187" s="34" t="n">
        <x:f>ABS(F187)</x:f>
        <x:v>227</x:v>
      </x:c>
      <x:c r="H187" s="34" t="n">
        <x:f>F187^2</x:f>
        <x:v>51529</x:v>
      </x:c>
    </x:row>
    <x:row r="188">
      <x:c r="A188" t="str">
        <x:v>Dic-2025</x:v>
      </x:c>
      <x:c r="B188" t="str">
        <x:v>Reservas Internacionales (USD mn)</x:v>
      </x:c>
      <x:c r="C188" s="33" t="n">
        <x:v>2025</x:v>
      </x:c>
      <x:c r="D188" s="34" t="n">
        <x:v>10290</x:v>
      </x:c>
      <x:c r="E188" s="34" t="n">
        <x:v>9803</x:v>
      </x:c>
      <x:c r="F188" s="34" t="n">
        <x:f>D188-E188</x:f>
        <x:v>487</x:v>
      </x:c>
      <x:c r="G188" s="34" t="n">
        <x:f>ABS(F188)</x:f>
        <x:v>487</x:v>
      </x:c>
      <x:c r="H188" s="34" t="n">
        <x:f>F188^2</x:f>
        <x:v>237169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b29ce75c4a64e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4" customHeight="1">
      <x:c r="A1" s="3" t="str">
        <x:v>Resumen de desempeño</x:v>
      </x:c>
      <x:c r="B1" s="3"/>
      <x:c r="C1" s="3"/>
      <x:c r="D1" s="3"/>
      <x:c r="E1" s="3"/>
      <x:c r="F1" s="3"/>
      <x:c r="G1" s="3"/>
    </x:row>
    <x:row r="2" ht="24" customHeight="1">
      <x:c r="A2" s="6" t="str">
        <x:v>N, MAE, RMSE y sesgo calculados sobre años ya observables</x:v>
      </x:c>
      <x:c r="B2" s="6"/>
      <x:c r="C2" s="6"/>
      <x:c r="D2" s="6"/>
      <x:c r="E2" s="6"/>
      <x:c r="F2" s="6"/>
      <x:c r="G2" s="6"/>
    </x:row>
    <x:row r="4" ht="22" customHeight="1">
      <x:c r="A4" s="11" t="str">
        <x:v>Vintage</x:v>
      </x:c>
      <x:c r="B4" s="16" t="str">
        <x:v>Variable</x:v>
      </x:c>
      <x:c r="C4" s="16" t="str">
        <x:v>N</x:v>
      </x:c>
      <x:c r="D4" s="16" t="str">
        <x:v>MAE</x:v>
      </x:c>
      <x:c r="E4" s="16" t="str">
        <x:v>RMSE</x:v>
      </x:c>
      <x:c r="F4" s="16" t="str">
        <x:v>Sesgo</x:v>
      </x:c>
      <x:c r="G4" s="12" t="str">
        <x:v>Unidad</x:v>
      </x:c>
    </x:row>
    <x:row r="5">
      <x:c r="A5" t="str">
        <x:v>Mar-2019</x:v>
      </x:c>
      <x:c r="B5" t="str">
        <x:v>Real GDP (%)</x:v>
      </x:c>
      <x:c r="C5" s="33" t="n">
        <x:f>COUNTIFS('Errores'!$A$5:$A$188,A5,'Errores'!$B$5:$B$188,B5)</x:f>
        <x:v>5</x:v>
      </x:c>
      <x:c r="D5" s="34" t="n">
        <x:f>IF(C5=0,"",AVERAGEIFS('Errores'!$G$5:$G$188,'Errores'!$A$5:$A$188,A5,'Errores'!$B$5:$B$188,B5))</x:f>
        <x:v>3.1</x:v>
      </x:c>
      <x:c r="E5" s="34" t="n">
        <x:f>IF(C5=0,"",SQRT(AVERAGEIFS('Errores'!$H$5:$H$188,'Errores'!$A$5:$A$188,A5,'Errores'!$B$5:$B$188,B5)))</x:f>
        <x:v>4.141255848169731</x:v>
      </x:c>
      <x:c r="F5" s="34" t="n">
        <x:f>IF(C5=0,"",AVERAGEIFS('Errores'!$F$5:$F$188,'Errores'!$A$5:$A$188,A5,'Errores'!$B$5:$B$188,B5))</x:f>
        <x:v>0.29999999999999993</x:v>
      </x:c>
      <x:c r="G5" t="str">
        <x:v>%</x:v>
      </x:c>
    </x:row>
    <x:row r="6">
      <x:c r="A6" t="str">
        <x:v>Mar-2019</x:v>
      </x:c>
      <x:c r="B6" t="str">
        <x:v>Inflación promedio (%)</x:v>
      </x:c>
      <x:c r="C6" s="33" t="n">
        <x:f>COUNTIFS('Errores'!$A$5:$A$188,A6,'Errores'!$B$5:$B$188,B6)</x:f>
        <x:v>5</x:v>
      </x:c>
      <x:c r="D6" s="34" t="n">
        <x:f>IF(C6=0,"",AVERAGEIFS('Errores'!$G$5:$G$188,'Errores'!$A$5:$A$188,A6,'Errores'!$B$5:$B$188,B6))</x:f>
        <x:v>1.3199999999999998</x:v>
      </x:c>
      <x:c r="E6" s="34" t="n">
        <x:f>IF(C6=0,"",SQRT(AVERAGEIFS('Errores'!$H$5:$H$188,'Errores'!$A$5:$A$188,A6,'Errores'!$B$5:$B$188,B6)))</x:f>
        <x:v>1.4587666023048376</x:v>
      </x:c>
      <x:c r="F6" s="34" t="n">
        <x:f>IF(C6=0,"",AVERAGEIFS('Errores'!$F$5:$F$188,'Errores'!$A$5:$A$188,A6,'Errores'!$B$5:$B$188,B6))</x:f>
        <x:v>-8.881784197001253e-17</x:v>
      </x:c>
      <x:c r="G6" t="str">
        <x:v>%</x:v>
      </x:c>
    </x:row>
    <x:row r="7">
      <x:c r="A7" t="str">
        <x:v>Mar-2019</x:v>
      </x:c>
      <x:c r="B7" t="str">
        <x:v>Cuenta Corriente (% PIB)</x:v>
      </x:c>
      <x:c r="C7" s="33" t="n">
        <x:f>COUNTIFS('Errores'!$A$5:$A$188,A7,'Errores'!$B$5:$B$188,B7)</x:f>
        <x:v>5</x:v>
      </x:c>
      <x:c r="D7" s="34" t="n">
        <x:f>IF(C7=0,"",AVERAGEIFS('Errores'!$G$5:$G$188,'Errores'!$A$5:$A$188,A7,'Errores'!$B$5:$B$188,B7))</x:f>
        <x:v>0.76</x:v>
      </x:c>
      <x:c r="E7" s="34" t="n">
        <x:f>IF(C7=0,"",SQRT(AVERAGEIFS('Errores'!$H$5:$H$188,'Errores'!$A$5:$A$188,A7,'Errores'!$B$5:$B$188,B7)))</x:f>
        <x:v>0.9033271832508972</x:v>
      </x:c>
      <x:c r="F7" s="34" t="n">
        <x:f>IF(C7=0,"",AVERAGEIFS('Errores'!$F$5:$F$188,'Errores'!$A$5:$A$188,A7,'Errores'!$B$5:$B$188,B7))</x:f>
        <x:v>-0.5599999999999999</x:v>
      </x:c>
      <x:c r="G7" t="str">
        <x:v>% del PIB</x:v>
      </x:c>
    </x:row>
    <x:row r="8">
      <x:c r="A8" t="str">
        <x:v>Mar-2019</x:v>
      </x:c>
      <x:c r="B8" t="str">
        <x:v>Balance Fiscal NFPS (% PIB)</x:v>
      </x:c>
      <x:c r="C8" s="33" t="n">
        <x:f>COUNTIFS('Errores'!$A$5:$A$188,A8,'Errores'!$B$5:$B$188,B8)</x:f>
        <x:v>5</x:v>
      </x:c>
      <x:c r="D8" s="34" t="n">
        <x:f>IF(C8=0,"",AVERAGEIFS('Errores'!$G$5:$G$188,'Errores'!$A$5:$A$188,A8,'Errores'!$B$5:$B$188,B8))</x:f>
        <x:v>5.459999999999999</x:v>
      </x:c>
      <x:c r="E8" s="34" t="n">
        <x:f>IF(C8=0,"",SQRT(AVERAGEIFS('Errores'!$H$5:$H$188,'Errores'!$A$5:$A$188,A8,'Errores'!$B$5:$B$188,B8)))</x:f>
        <x:v>6.247399458974909</x:v>
      </x:c>
      <x:c r="F8" s="34" t="n">
        <x:f>IF(C8=0,"",AVERAGEIFS('Errores'!$F$5:$F$188,'Errores'!$A$5:$A$188,A8,'Errores'!$B$5:$B$188,B8))</x:f>
        <x:v>5.459999999999999</x:v>
      </x:c>
      <x:c r="G8" t="str">
        <x:v>% del PIB</x:v>
      </x:c>
    </x:row>
    <x:row r="9">
      <x:c r="A9" t="str">
        <x:v>Mar-2019</x:v>
      </x:c>
      <x:c r="B9" t="str">
        <x:v>Deuda Pública (% PIB)</x:v>
      </x:c>
      <x:c r="C9" s="33" t="n">
        <x:f>COUNTIFS('Errores'!$A$5:$A$188,A9,'Errores'!$B$5:$B$188,B9)</x:f>
        <x:v>5</x:v>
      </x:c>
      <x:c r="D9" s="34" t="n">
        <x:f>IF(C9=0,"",AVERAGEIFS('Errores'!$G$5:$G$188,'Errores'!$A$5:$A$188,A9,'Errores'!$B$5:$B$188,B9))</x:f>
        <x:v>13.5</x:v>
      </x:c>
      <x:c r="E9" s="34" t="n">
        <x:f>IF(C9=0,"",SQRT(AVERAGEIFS('Errores'!$H$5:$H$188,'Errores'!$A$5:$A$188,A9,'Errores'!$B$5:$B$188,B9)))</x:f>
        <x:v>14.689520073848566</x:v>
      </x:c>
      <x:c r="F9" s="34" t="n">
        <x:f>IF(C9=0,"",AVERAGEIFS('Errores'!$F$5:$F$188,'Errores'!$A$5:$A$188,A9,'Errores'!$B$5:$B$188,B9))</x:f>
        <x:v>-13.5</x:v>
      </x:c>
      <x:c r="G9" t="str">
        <x:v>% del PIB</x:v>
      </x:c>
    </x:row>
    <x:row r="10">
      <x:c r="A10" t="str">
        <x:v>Mar-2019</x:v>
      </x:c>
      <x:c r="B10" t="str">
        <x:v>Precio Petróleo Ecuador (USD/bbl)</x:v>
      </x:c>
      <x:c r="C10" s="33" t="n">
        <x:f>COUNTIFS('Errores'!$A$5:$A$188,A10,'Errores'!$B$5:$B$188,B10)</x:f>
        <x:v>5</x:v>
      </x:c>
      <x:c r="D10" s="34" t="n">
        <x:f>IF(C10=0,"",AVERAGEIFS('Errores'!$G$5:$G$188,'Errores'!$A$5:$A$188,A10,'Errores'!$B$5:$B$188,B10))</x:f>
        <x:v>17.220000000000002</x:v>
      </x:c>
      <x:c r="E10" s="34" t="n">
        <x:f>IF(C10=0,"",SQRT(AVERAGEIFS('Errores'!$H$5:$H$188,'Errores'!$A$5:$A$188,A10,'Errores'!$B$5:$B$188,B10)))</x:f>
        <x:v>19.822159317289326</x:v>
      </x:c>
      <x:c r="F10" s="34" t="n">
        <x:f>IF(C10=0,"",AVERAGEIFS('Errores'!$F$5:$F$188,'Errores'!$A$5:$A$188,A10,'Errores'!$B$5:$B$188,B10))</x:f>
        <x:v>-11.98</x:v>
      </x:c>
      <x:c r="G10" t="str">
        <x:v>USD/barril</x:v>
      </x:c>
    </x:row>
    <x:row r="11">
      <x:c r="A11" t="str">
        <x:v>Mar-2019</x:v>
      </x:c>
      <x:c r="B11" t="str">
        <x:v>PIB Nominal (USD mn)</x:v>
      </x:c>
      <x:c r="C11" s="33" t="n">
        <x:f>COUNTIFS('Errores'!$A$5:$A$188,A11,'Errores'!$B$5:$B$188,B11)</x:f>
        <x:v>5</x:v>
      </x:c>
      <x:c r="D11" s="34" t="n">
        <x:f>IF(C11=0,"",AVERAGEIFS('Errores'!$G$5:$G$188,'Errores'!$A$5:$A$188,A11,'Errores'!$B$5:$B$188,B11))</x:f>
        <x:v>3751.4</x:v>
      </x:c>
      <x:c r="E11" s="34" t="n">
        <x:f>IF(C11=0,"",SQRT(AVERAGEIFS('Errores'!$H$5:$H$188,'Errores'!$A$5:$A$188,A11,'Errores'!$B$5:$B$188,B11)))</x:f>
        <x:v>4526.124103468662</x:v>
      </x:c>
      <x:c r="F11" s="34" t="n">
        <x:f>IF(C11=0,"",AVERAGEIFS('Errores'!$F$5:$F$188,'Errores'!$A$5:$A$188,A11,'Errores'!$B$5:$B$188,B11))</x:f>
        <x:v>1386.2</x:v>
      </x:c>
      <x:c r="G11" t="str">
        <x:v>USD millones</x:v>
      </x:c>
    </x:row>
    <x:row r="12">
      <x:c r="A12" t="str">
        <x:v>Mar-2019</x:v>
      </x:c>
      <x:c r="B12" t="str">
        <x:v>Reservas Internacionales (USD mn)</x:v>
      </x:c>
      <x:c r="C12" s="33" t="n">
        <x:f>COUNTIFS('Errores'!$A$5:$A$188,A12,'Errores'!$B$5:$B$188,B12)</x:f>
        <x:v>5</x:v>
      </x:c>
      <x:c r="D12" s="34" t="n">
        <x:f>IF(C12=0,"",AVERAGEIFS('Errores'!$G$5:$G$188,'Errores'!$A$5:$A$188,A12,'Errores'!$B$5:$B$188,B12))</x:f>
        <x:v>3613.6</x:v>
      </x:c>
      <x:c r="E12" s="34" t="n">
        <x:f>IF(C12=0,"",SQRT(AVERAGEIFS('Errores'!$H$5:$H$188,'Errores'!$A$5:$A$188,A12,'Errores'!$B$5:$B$188,B12)))</x:f>
        <x:v>4481.8268150387075</x:v>
      </x:c>
      <x:c r="F12" s="34" t="n">
        <x:f>IF(C12=0,"",AVERAGEIFS('Errores'!$F$5:$F$188,'Errores'!$A$5:$A$188,A12,'Errores'!$B$5:$B$188,B12))</x:f>
        <x:v>3613.6</x:v>
      </x:c>
      <x:c r="G12" t="str">
        <x:v>USD millones</x:v>
      </x:c>
    </x:row>
    <x:row r="13">
      <x:c r="A13" t="str">
        <x:v>Dic-2020</x:v>
      </x:c>
      <x:c r="B13" t="str">
        <x:v>Real GDP (%)</x:v>
      </x:c>
      <x:c r="C13" s="33" t="n">
        <x:f>COUNTIFS('Errores'!$A$5:$A$188,A13,'Errores'!$B$5:$B$188,B13)</x:f>
        <x:v>6</x:v>
      </x:c>
      <x:c r="D13" s="34" t="n">
        <x:f>IF(C13=0,"",AVERAGEIFS('Errores'!$G$5:$G$188,'Errores'!$A$5:$A$188,A13,'Errores'!$B$5:$B$188,B13))</x:f>
        <x:v>2.1166666666666667</x:v>
      </x:c>
      <x:c r="E13" s="34" t="n">
        <x:f>IF(C13=0,"",SQRT(AVERAGEIFS('Errores'!$H$5:$H$188,'Errores'!$A$5:$A$188,A13,'Errores'!$B$5:$B$188,B13)))</x:f>
        <x:v>2.7254968965921305</x:v>
      </x:c>
      <x:c r="F13" s="34" t="n">
        <x:f>IF(C13=0,"",AVERAGEIFS('Errores'!$F$5:$F$188,'Errores'!$A$5:$A$188,A13,'Errores'!$B$5:$B$188,B13))</x:f>
        <x:v>-0.8166666666666668</x:v>
      </x:c>
      <x:c r="G13" t="str">
        <x:v>%</x:v>
      </x:c>
    </x:row>
    <x:row r="14">
      <x:c r="A14" t="str">
        <x:v>Dic-2020</x:v>
      </x:c>
      <x:c r="B14" t="str">
        <x:v>Inflación promedio (%)</x:v>
      </x:c>
      <x:c r="C14" s="33" t="n">
        <x:f>COUNTIFS('Errores'!$A$5:$A$188,A14,'Errores'!$B$5:$B$188,B14)</x:f>
        <x:v>6</x:v>
      </x:c>
      <x:c r="D14" s="34" t="n">
        <x:f>IF(C14=0,"",AVERAGEIFS('Errores'!$G$5:$G$188,'Errores'!$A$5:$A$188,A14,'Errores'!$B$5:$B$188,B14))</x:f>
        <x:v>0.6000000000000001</x:v>
      </x:c>
      <x:c r="E14" s="34" t="n">
        <x:f>IF(C14=0,"",SQRT(AVERAGEIFS('Errores'!$H$5:$H$188,'Errores'!$A$5:$A$188,A14,'Errores'!$B$5:$B$188,B14)))</x:f>
        <x:v>0.7071067811865476</x:v>
      </x:c>
      <x:c r="F14" s="34" t="n">
        <x:f>IF(C14=0,"",AVERAGEIFS('Errores'!$F$5:$F$188,'Errores'!$A$5:$A$188,A14,'Errores'!$B$5:$B$188,B14))</x:f>
        <x:v>-0.20000000000000007</x:v>
      </x:c>
      <x:c r="G14" t="str">
        <x:v>%</x:v>
      </x:c>
    </x:row>
    <x:row r="15">
      <x:c r="A15" t="str">
        <x:v>Dic-2020</x:v>
      </x:c>
      <x:c r="B15" t="str">
        <x:v>Cuenta Corriente (% PIB)</x:v>
      </x:c>
      <x:c r="C15" s="33" t="n">
        <x:f>COUNTIFS('Errores'!$A$5:$A$188,A15,'Errores'!$B$5:$B$188,B15)</x:f>
        <x:v>6</x:v>
      </x:c>
      <x:c r="D15" s="34" t="n">
        <x:f>IF(C15=0,"",AVERAGEIFS('Errores'!$G$5:$G$188,'Errores'!$A$5:$A$188,A15,'Errores'!$B$5:$B$188,B15))</x:f>
        <x:v>2.1333333333333333</x:v>
      </x:c>
      <x:c r="E15" s="34" t="n">
        <x:f>IF(C15=0,"",SQRT(AVERAGEIFS('Errores'!$H$5:$H$188,'Errores'!$A$5:$A$188,A15,'Errores'!$B$5:$B$188,B15)))</x:f>
        <x:v>2.643860813280457</x:v>
      </x:c>
      <x:c r="F15" s="34" t="n">
        <x:f>IF(C15=0,"",AVERAGEIFS('Errores'!$F$5:$F$188,'Errores'!$A$5:$A$188,A15,'Errores'!$B$5:$B$188,B15))</x:f>
        <x:v>-2.1333333333333333</x:v>
      </x:c>
      <x:c r="G15" t="str">
        <x:v>% del PIB</x:v>
      </x:c>
    </x:row>
    <x:row r="16">
      <x:c r="A16" t="str">
        <x:v>Dic-2020</x:v>
      </x:c>
      <x:c r="B16" t="str">
        <x:v>Balance Fiscal NFPS (% PIB)</x:v>
      </x:c>
      <x:c r="C16" s="33" t="n">
        <x:f>COUNTIFS('Errores'!$A$5:$A$188,A16,'Errores'!$B$5:$B$188,B16)</x:f>
        <x:v>6</x:v>
      </x:c>
      <x:c r="D16" s="34" t="n">
        <x:f>IF(C16=0,"",AVERAGEIFS('Errores'!$G$5:$G$188,'Errores'!$A$5:$A$188,A16,'Errores'!$B$5:$B$188,B16))</x:f>
        <x:v>2.766666666666667</x:v>
      </x:c>
      <x:c r="E16" s="34" t="n">
        <x:f>IF(C16=0,"",SQRT(AVERAGEIFS('Errores'!$H$5:$H$188,'Errores'!$A$5:$A$188,A16,'Errores'!$B$5:$B$188,B16)))</x:f>
        <x:v>3.4258818815987606</x:v>
      </x:c>
      <x:c r="F16" s="34" t="n">
        <x:f>IF(C16=0,"",AVERAGEIFS('Errores'!$F$5:$F$188,'Errores'!$A$5:$A$188,A16,'Errores'!$B$5:$B$188,B16))</x:f>
        <x:v>2.1333333333333333</x:v>
      </x:c>
      <x:c r="G16" t="str">
        <x:v>% del PIB</x:v>
      </x:c>
    </x:row>
    <x:row r="17">
      <x:c r="A17" t="str">
        <x:v>Dic-2020</x:v>
      </x:c>
      <x:c r="B17" t="str">
        <x:v>Deuda Pública (% PIB)</x:v>
      </x:c>
      <x:c r="C17" s="33" t="n">
        <x:f>COUNTIFS('Errores'!$A$5:$A$188,A17,'Errores'!$B$5:$B$188,B17)</x:f>
        <x:v>6</x:v>
      </x:c>
      <x:c r="D17" s="34" t="n">
        <x:f>IF(C17=0,"",AVERAGEIFS('Errores'!$G$5:$G$188,'Errores'!$A$5:$A$188,A17,'Errores'!$B$5:$B$188,B17))</x:f>
        <x:v>5.4666666666666694</x:v>
      </x:c>
      <x:c r="E17" s="34" t="n">
        <x:f>IF(C17=0,"",SQRT(AVERAGEIFS('Errores'!$H$5:$H$188,'Errores'!$A$5:$A$188,A17,'Errores'!$B$5:$B$188,B17)))</x:f>
        <x:v>5.817215828899597</x:v>
      </x:c>
      <x:c r="F17" s="34" t="n">
        <x:f>IF(C17=0,"",AVERAGEIFS('Errores'!$F$5:$F$188,'Errores'!$A$5:$A$188,A17,'Errores'!$B$5:$B$188,B17))</x:f>
        <x:v>5.4666666666666694</x:v>
      </x:c>
      <x:c r="G17" t="str">
        <x:v>% del PIB</x:v>
      </x:c>
    </x:row>
    <x:row r="18">
      <x:c r="A18" t="str">
        <x:v>Dic-2020</x:v>
      </x:c>
      <x:c r="B18" t="str">
        <x:v>Precio Petróleo Ecuador (USD/bbl)</x:v>
      </x:c>
      <x:c r="C18" s="33" t="n">
        <x:f>COUNTIFS('Errores'!$A$5:$A$188,A18,'Errores'!$B$5:$B$188,B18)</x:f>
        <x:v>6</x:v>
      </x:c>
      <x:c r="D18" s="34" t="n">
        <x:f>IF(C18=0,"",AVERAGEIFS('Errores'!$G$5:$G$188,'Errores'!$A$5:$A$188,A18,'Errores'!$B$5:$B$188,B18))</x:f>
        <x:v>24.683333333333337</x:v>
      </x:c>
      <x:c r="E18" s="34" t="n">
        <x:f>IF(C18=0,"",SQRT(AVERAGEIFS('Errores'!$H$5:$H$188,'Errores'!$A$5:$A$188,A18,'Errores'!$B$5:$B$188,B18)))</x:f>
        <x:v>28.344928999734677</x:v>
      </x:c>
      <x:c r="F18" s="34" t="n">
        <x:f>IF(C18=0,"",AVERAGEIFS('Errores'!$F$5:$F$188,'Errores'!$A$5:$A$188,A18,'Errores'!$B$5:$B$188,B18))</x:f>
        <x:v>-24.683333333333337</x:v>
      </x:c>
      <x:c r="G18" t="str">
        <x:v>USD/barril</x:v>
      </x:c>
    </x:row>
    <x:row r="19">
      <x:c r="A19" t="str">
        <x:v>Dic-2020</x:v>
      </x:c>
      <x:c r="B19" t="str">
        <x:v>PIB Nominal (USD mn)</x:v>
      </x:c>
      <x:c r="C19" s="33" t="n">
        <x:f>COUNTIFS('Errores'!$A$5:$A$188,A19,'Errores'!$B$5:$B$188,B19)</x:f>
        <x:v>6</x:v>
      </x:c>
      <x:c r="D19" s="34" t="n">
        <x:f>IF(C19=0,"",AVERAGEIFS('Errores'!$G$5:$G$188,'Errores'!$A$5:$A$188,A19,'Errores'!$B$5:$B$188,B19))</x:f>
        <x:v>11965.333333333334</x:v>
      </x:c>
      <x:c r="E19" s="34" t="n">
        <x:f>IF(C19=0,"",SQRT(AVERAGEIFS('Errores'!$H$5:$H$188,'Errores'!$A$5:$A$188,A19,'Errores'!$B$5:$B$188,B19)))</x:f>
        <x:v>12742.762651795725</x:v>
      </x:c>
      <x:c r="F19" s="34" t="n">
        <x:f>IF(C19=0,"",AVERAGEIFS('Errores'!$F$5:$F$188,'Errores'!$A$5:$A$188,A19,'Errores'!$B$5:$B$188,B19))</x:f>
        <x:v>-11965.333333333334</x:v>
      </x:c>
      <x:c r="G19" t="str">
        <x:v>USD millones</x:v>
      </x:c>
    </x:row>
    <x:row r="20">
      <x:c r="A20" t="str">
        <x:v>Dic-2020</x:v>
      </x:c>
      <x:c r="B20" t="str">
        <x:v>Reservas Internacionales (USD mn)</x:v>
      </x:c>
      <x:c r="C20" s="33" t="n">
        <x:f>COUNTIFS('Errores'!$A$5:$A$188,A20,'Errores'!$B$5:$B$188,B20)</x:f>
        <x:v>6</x:v>
      </x:c>
      <x:c r="D20" s="34" t="n">
        <x:f>IF(C20=0,"",AVERAGEIFS('Errores'!$G$5:$G$188,'Errores'!$A$5:$A$188,A20,'Errores'!$B$5:$B$188,B20))</x:f>
        <x:v>3248.3333333333335</x:v>
      </x:c>
      <x:c r="E20" s="34" t="n">
        <x:f>IF(C20=0,"",SQRT(AVERAGEIFS('Errores'!$H$5:$H$188,'Errores'!$A$5:$A$188,A20,'Errores'!$B$5:$B$188,B20)))</x:f>
        <x:v>4029.9575680148296</x:v>
      </x:c>
      <x:c r="F20" s="34" t="n">
        <x:f>IF(C20=0,"",AVERAGEIFS('Errores'!$F$5:$F$188,'Errores'!$A$5:$A$188,A20,'Errores'!$B$5:$B$188,B20))</x:f>
        <x:v>2400</x:v>
      </x:c>
      <x:c r="G20" t="str">
        <x:v>USD millones</x:v>
      </x:c>
    </x:row>
    <x:row r="21">
      <x:c r="A21" t="str">
        <x:v>Oct-2021</x:v>
      </x:c>
      <x:c r="B21" t="str">
        <x:v>Real GDP (%)</x:v>
      </x:c>
      <x:c r="C21" s="33" t="n">
        <x:f>COUNTIFS('Errores'!$A$5:$A$188,A21,'Errores'!$B$5:$B$188,B21)</x:f>
        <x:v>5</x:v>
      </x:c>
      <x:c r="D21" s="34" t="n">
        <x:f>IF(C21=0,"",AVERAGEIFS('Errores'!$G$5:$G$188,'Errores'!$A$5:$A$188,A21,'Errores'!$B$5:$B$188,B21))</x:f>
        <x:v>2.04</x:v>
      </x:c>
      <x:c r="E21" s="34" t="n">
        <x:f>IF(C21=0,"",SQRT(AVERAGEIFS('Errores'!$H$5:$H$188,'Errores'!$A$5:$A$188,A21,'Errores'!$B$5:$B$188,B21)))</x:f>
        <x:v>2.4819347291981715</x:v>
      </x:c>
      <x:c r="F21" s="34" t="n">
        <x:f>IF(C21=0,"",AVERAGEIFS('Errores'!$F$5:$F$188,'Errores'!$A$5:$A$188,A21,'Errores'!$B$5:$B$188,B21))</x:f>
        <x:v>0.039999999999999855</x:v>
      </x:c>
      <x:c r="G21" t="str">
        <x:v>%</x:v>
      </x:c>
    </x:row>
    <x:row r="22">
      <x:c r="A22" t="str">
        <x:v>Oct-2021</x:v>
      </x:c>
      <x:c r="B22" t="str">
        <x:v>Inflación promedio (%)</x:v>
      </x:c>
      <x:c r="C22" s="33" t="n">
        <x:f>COUNTIFS('Errores'!$A$5:$A$188,A22,'Errores'!$B$5:$B$188,B22)</x:f>
        <x:v>5</x:v>
      </x:c>
      <x:c r="D22" s="34" t="n">
        <x:f>IF(C22=0,"",AVERAGEIFS('Errores'!$G$5:$G$188,'Errores'!$A$5:$A$188,A22,'Errores'!$B$5:$B$188,B22))</x:f>
        <x:v>0.66</x:v>
      </x:c>
      <x:c r="E22" s="34" t="n">
        <x:f>IF(C22=0,"",SQRT(AVERAGEIFS('Errores'!$H$5:$H$188,'Errores'!$A$5:$A$188,A22,'Errores'!$B$5:$B$188,B22)))</x:f>
        <x:v>0.8111719916269299</x:v>
      </x:c>
      <x:c r="F22" s="34" t="n">
        <x:f>IF(C22=0,"",AVERAGEIFS('Errores'!$F$5:$F$188,'Errores'!$A$5:$A$188,A22,'Errores'!$B$5:$B$188,B22))</x:f>
        <x:v>-0.059999999999999984</x:v>
      </x:c>
      <x:c r="G22" t="str">
        <x:v>%</x:v>
      </x:c>
    </x:row>
    <x:row r="23">
      <x:c r="A23" t="str">
        <x:v>Oct-2021</x:v>
      </x:c>
      <x:c r="B23" t="str">
        <x:v>Cuenta Corriente (% PIB)</x:v>
      </x:c>
      <x:c r="C23" s="33" t="n">
        <x:f>COUNTIFS('Errores'!$A$5:$A$188,A23,'Errores'!$B$5:$B$188,B23)</x:f>
        <x:v>5</x:v>
      </x:c>
      <x:c r="D23" s="34" t="n">
        <x:f>IF(C23=0,"",AVERAGEIFS('Errores'!$G$5:$G$188,'Errores'!$A$5:$A$188,A23,'Errores'!$B$5:$B$188,B23))</x:f>
        <x:v>1.9</x:v>
      </x:c>
      <x:c r="E23" s="34" t="n">
        <x:f>IF(C23=0,"",SQRT(AVERAGEIFS('Errores'!$H$5:$H$188,'Errores'!$A$5:$A$188,A23,'Errores'!$B$5:$B$188,B23)))</x:f>
        <x:v>2.4903814968795444</x:v>
      </x:c>
      <x:c r="F23" s="34" t="n">
        <x:f>IF(C23=0,"",AVERAGEIFS('Errores'!$F$5:$F$188,'Errores'!$A$5:$A$188,A23,'Errores'!$B$5:$B$188,B23))</x:f>
        <x:v>-1.9</x:v>
      </x:c>
      <x:c r="G23" t="str">
        <x:v>% del PIB</x:v>
      </x:c>
    </x:row>
    <x:row r="24">
      <x:c r="A24" t="str">
        <x:v>Oct-2021</x:v>
      </x:c>
      <x:c r="B24" t="str">
        <x:v>Balance Fiscal NFPS (% PIB)</x:v>
      </x:c>
      <x:c r="C24" s="33" t="n">
        <x:f>COUNTIFS('Errores'!$A$5:$A$188,A24,'Errores'!$B$5:$B$188,B24)</x:f>
        <x:v>5</x:v>
      </x:c>
      <x:c r="D24" s="34" t="n">
        <x:f>IF(C24=0,"",AVERAGEIFS('Errores'!$G$5:$G$188,'Errores'!$A$5:$A$188,A24,'Errores'!$B$5:$B$188,B24))</x:f>
        <x:v>2.5</x:v>
      </x:c>
      <x:c r="E24" s="34" t="n">
        <x:f>IF(C24=0,"",SQRT(AVERAGEIFS('Errores'!$H$5:$H$188,'Errores'!$A$5:$A$188,A24,'Errores'!$B$5:$B$188,B24)))</x:f>
        <x:v>3.1103054512378687</x:v>
      </x:c>
      <x:c r="F24" s="34" t="n">
        <x:f>IF(C24=0,"",AVERAGEIFS('Errores'!$F$5:$F$188,'Errores'!$A$5:$A$188,A24,'Errores'!$B$5:$B$188,B24))</x:f>
        <x:v>2.22</x:v>
      </x:c>
      <x:c r="G24" t="str">
        <x:v>% del PIB</x:v>
      </x:c>
    </x:row>
    <x:row r="25">
      <x:c r="A25" t="str">
        <x:v>Oct-2021</x:v>
      </x:c>
      <x:c r="B25" t="str">
        <x:v>Deuda Pública (% PIB)</x:v>
      </x:c>
      <x:c r="C25" s="33" t="n">
        <x:f>COUNTIFS('Errores'!$A$5:$A$188,A25,'Errores'!$B$5:$B$188,B25)</x:f>
        <x:v>5</x:v>
      </x:c>
      <x:c r="D25" s="34" t="n">
        <x:f>IF(C25=0,"",AVERAGEIFS('Errores'!$G$5:$G$188,'Errores'!$A$5:$A$188,A25,'Errores'!$B$5:$B$188,B25))</x:f>
        <x:v>2.219999999999999</x:v>
      </x:c>
      <x:c r="E25" s="34" t="n">
        <x:f>IF(C25=0,"",SQRT(AVERAGEIFS('Errores'!$H$5:$H$188,'Errores'!$A$5:$A$188,A25,'Errores'!$B$5:$B$188,B25)))</x:f>
        <x:v>2.367699305232824</x:v>
      </x:c>
      <x:c r="F25" s="34" t="n">
        <x:f>IF(C25=0,"",AVERAGEIFS('Errores'!$F$5:$F$188,'Errores'!$A$5:$A$188,A25,'Errores'!$B$5:$B$188,B25))</x:f>
        <x:v>1.1400000000000006</x:v>
      </x:c>
      <x:c r="G25" t="str">
        <x:v>% del PIB</x:v>
      </x:c>
    </x:row>
    <x:row r="26">
      <x:c r="A26" t="str">
        <x:v>Oct-2021</x:v>
      </x:c>
      <x:c r="B26" t="str">
        <x:v>Precio Petróleo Ecuador (USD/bbl)</x:v>
      </x:c>
      <x:c r="C26" s="33" t="n">
        <x:f>COUNTIFS('Errores'!$A$5:$A$188,A26,'Errores'!$B$5:$B$188,B26)</x:f>
        <x:v>5</x:v>
      </x:c>
      <x:c r="D26" s="34" t="n">
        <x:f>IF(C26=0,"",AVERAGEIFS('Errores'!$G$5:$G$188,'Errores'!$A$5:$A$188,A26,'Errores'!$B$5:$B$188,B26))</x:f>
        <x:v>17.639999999999997</x:v>
      </x:c>
      <x:c r="E26" s="34" t="n">
        <x:f>IF(C26=0,"",SQRT(AVERAGEIFS('Errores'!$H$5:$H$188,'Errores'!$A$5:$A$188,A26,'Errores'!$B$5:$B$188,B26)))</x:f>
        <x:v>18.937053625102294</x:v>
      </x:c>
      <x:c r="F26" s="34" t="n">
        <x:f>IF(C26=0,"",AVERAGEIFS('Errores'!$F$5:$F$188,'Errores'!$A$5:$A$188,A26,'Errores'!$B$5:$B$188,B26))</x:f>
        <x:v>-17.639999999999997</x:v>
      </x:c>
      <x:c r="G26" t="str">
        <x:v>USD/barril</x:v>
      </x:c>
    </x:row>
    <x:row r="27">
      <x:c r="A27" t="str">
        <x:v>Oct-2021</x:v>
      </x:c>
      <x:c r="B27" t="str">
        <x:v>PIB Nominal (USD mn)</x:v>
      </x:c>
      <x:c r="C27" s="33" t="n">
        <x:f>COUNTIFS('Errores'!$A$5:$A$188,A27,'Errores'!$B$5:$B$188,B27)</x:f>
        <x:v>5</x:v>
      </x:c>
      <x:c r="D27" s="34" t="n">
        <x:f>IF(C27=0,"",AVERAGEIFS('Errores'!$G$5:$G$188,'Errores'!$A$5:$A$188,A27,'Errores'!$B$5:$B$188,B27))</x:f>
        <x:v>10287</x:v>
      </x:c>
      <x:c r="E27" s="34" t="n">
        <x:f>IF(C27=0,"",SQRT(AVERAGEIFS('Errores'!$H$5:$H$188,'Errores'!$A$5:$A$188,A27,'Errores'!$B$5:$B$188,B27)))</x:f>
        <x:v>10453.349042292619</x:v>
      </x:c>
      <x:c r="F27" s="34" t="n">
        <x:f>IF(C27=0,"",AVERAGEIFS('Errores'!$F$5:$F$188,'Errores'!$A$5:$A$188,A27,'Errores'!$B$5:$B$188,B27))</x:f>
        <x:v>-10287</x:v>
      </x:c>
      <x:c r="G27" t="str">
        <x:v>USD millones</x:v>
      </x:c>
    </x:row>
    <x:row r="28">
      <x:c r="A28" t="str">
        <x:v>Oct-2021</x:v>
      </x:c>
      <x:c r="B28" t="str">
        <x:v>Reservas Internacionales (USD mn)</x:v>
      </x:c>
      <x:c r="C28" s="33" t="n">
        <x:f>COUNTIFS('Errores'!$A$5:$A$188,A28,'Errores'!$B$5:$B$188,B28)</x:f>
        <x:v>5</x:v>
      </x:c>
      <x:c r="D28" s="34" t="n">
        <x:f>IF(C28=0,"",AVERAGEIFS('Errores'!$G$5:$G$188,'Errores'!$A$5:$A$188,A28,'Errores'!$B$5:$B$188,B28))</x:f>
        <x:v>2889.6</x:v>
      </x:c>
      <x:c r="E28" s="34" t="n">
        <x:f>IF(C28=0,"",SQRT(AVERAGEIFS('Errores'!$H$5:$H$188,'Errores'!$A$5:$A$188,A28,'Errores'!$B$5:$B$188,B28)))</x:f>
        <x:v>3600.8964994845383</x:v>
      </x:c>
      <x:c r="F28" s="34" t="n">
        <x:f>IF(C28=0,"",AVERAGEIFS('Errores'!$F$5:$F$188,'Errores'!$A$5:$A$188,A28,'Errores'!$B$5:$B$188,B28))</x:f>
        <x:v>2596</x:v>
      </x:c>
      <x:c r="G28" t="str">
        <x:v>USD millones</x:v>
      </x:c>
    </x:row>
    <x:row r="29">
      <x:c r="A29" t="str">
        <x:v>Nov-2022</x:v>
      </x:c>
      <x:c r="B29" t="str">
        <x:v>Real GDP (%)</x:v>
      </x:c>
      <x:c r="C29" s="33" t="n">
        <x:f>COUNTIFS('Errores'!$A$5:$A$188,A29,'Errores'!$B$5:$B$188,B29)</x:f>
        <x:v>4</x:v>
      </x:c>
      <x:c r="D29" s="34" t="n">
        <x:f>IF(C29=0,"",AVERAGEIFS('Errores'!$G$5:$G$188,'Errores'!$A$5:$A$188,A29,'Errores'!$B$5:$B$188,B29))</x:f>
        <x:v>2.5749999999999997</x:v>
      </x:c>
      <x:c r="E29" s="34" t="n">
        <x:f>IF(C29=0,"",SQRT(AVERAGEIFS('Errores'!$H$5:$H$188,'Errores'!$A$5:$A$188,A29,'Errores'!$B$5:$B$188,B29)))</x:f>
        <x:v>3.0244834269673224</x:v>
      </x:c>
      <x:c r="F29" s="34" t="n">
        <x:f>IF(C29=0,"",AVERAGEIFS('Errores'!$F$5:$F$188,'Errores'!$A$5:$A$188,A29,'Errores'!$B$5:$B$188,B29))</x:f>
        <x:v>0.3749999999999998</x:v>
      </x:c>
      <x:c r="G29" t="str">
        <x:v>%</x:v>
      </x:c>
    </x:row>
    <x:row r="30">
      <x:c r="A30" t="str">
        <x:v>Nov-2022</x:v>
      </x:c>
      <x:c r="B30" t="str">
        <x:v>Inflación promedio (%)</x:v>
      </x:c>
      <x:c r="C30" s="33" t="n">
        <x:f>COUNTIFS('Errores'!$A$5:$A$188,A30,'Errores'!$B$5:$B$188,B30)</x:f>
        <x:v>4</x:v>
      </x:c>
      <x:c r="D30" s="34" t="n">
        <x:f>IF(C30=0,"",AVERAGEIFS('Errores'!$G$5:$G$188,'Errores'!$A$5:$A$188,A30,'Errores'!$B$5:$B$188,B30))</x:f>
        <x:v>0.27499999999999997</x:v>
      </x:c>
      <x:c r="E30" s="34" t="n">
        <x:f>IF(C30=0,"",SQRT(AVERAGEIFS('Errores'!$H$5:$H$188,'Errores'!$A$5:$A$188,A30,'Errores'!$B$5:$B$188,B30)))</x:f>
        <x:v>0.42720018726587655</x:v>
      </x:c>
      <x:c r="F30" s="34" t="n">
        <x:f>IF(C30=0,"",AVERAGEIFS('Errores'!$F$5:$F$188,'Errores'!$A$5:$A$188,A30,'Errores'!$B$5:$B$188,B30))</x:f>
        <x:v>0.27499999999999997</x:v>
      </x:c>
      <x:c r="G30" t="str">
        <x:v>%</x:v>
      </x:c>
    </x:row>
    <x:row r="31">
      <x:c r="A31" t="str">
        <x:v>Nov-2022</x:v>
      </x:c>
      <x:c r="B31" t="str">
        <x:v>Cuenta Corriente (% PIB)</x:v>
      </x:c>
      <x:c r="C31" s="33" t="n">
        <x:f>COUNTIFS('Errores'!$A$5:$A$188,A31,'Errores'!$B$5:$B$188,B31)</x:f>
        <x:v>4</x:v>
      </x:c>
      <x:c r="D31" s="34" t="n">
        <x:f>IF(C31=0,"",AVERAGEIFS('Errores'!$G$5:$G$188,'Errores'!$A$5:$A$188,A31,'Errores'!$B$5:$B$188,B31))</x:f>
        <x:v>2.0250000000000004</x:v>
      </x:c>
      <x:c r="E31" s="34" t="n">
        <x:f>IF(C31=0,"",SQRT(AVERAGEIFS('Errores'!$H$5:$H$188,'Errores'!$A$5:$A$188,A31,'Errores'!$B$5:$B$188,B31)))</x:f>
        <x:v>2.6930466018990464</x:v>
      </x:c>
      <x:c r="F31" s="34" t="n">
        <x:f>IF(C31=0,"",AVERAGEIFS('Errores'!$F$5:$F$188,'Errores'!$A$5:$A$188,A31,'Errores'!$B$5:$B$188,B31))</x:f>
        <x:v>-1.875</x:v>
      </x:c>
      <x:c r="G31" t="str">
        <x:v>% del PIB</x:v>
      </x:c>
    </x:row>
    <x:row r="32">
      <x:c r="A32" t="str">
        <x:v>Nov-2022</x:v>
      </x:c>
      <x:c r="B32" t="str">
        <x:v>Balance Fiscal NFPS (% PIB)</x:v>
      </x:c>
      <x:c r="C32" s="33" t="n">
        <x:f>COUNTIFS('Errores'!$A$5:$A$188,A32,'Errores'!$B$5:$B$188,B32)</x:f>
        <x:v>4</x:v>
      </x:c>
      <x:c r="D32" s="34" t="n">
        <x:f>IF(C32=0,"",AVERAGEIFS('Errores'!$G$5:$G$188,'Errores'!$A$5:$A$188,A32,'Errores'!$B$5:$B$188,B32))</x:f>
        <x:v>3.5999999999999996</x:v>
      </x:c>
      <x:c r="E32" s="34" t="n">
        <x:f>IF(C32=0,"",SQRT(AVERAGEIFS('Errores'!$H$5:$H$188,'Errores'!$A$5:$A$188,A32,'Errores'!$B$5:$B$188,B32)))</x:f>
        <x:v>3.9654760117796704</x:v>
      </x:c>
      <x:c r="F32" s="34" t="n">
        <x:f>IF(C32=0,"",AVERAGEIFS('Errores'!$F$5:$F$188,'Errores'!$A$5:$A$188,A32,'Errores'!$B$5:$B$188,B32))</x:f>
        <x:v>3.5999999999999996</x:v>
      </x:c>
      <x:c r="G32" t="str">
        <x:v>% del PIB</x:v>
      </x:c>
    </x:row>
    <x:row r="33">
      <x:c r="A33" t="str">
        <x:v>Nov-2022</x:v>
      </x:c>
      <x:c r="B33" t="str">
        <x:v>Deuda Pública (% PIB)</x:v>
      </x:c>
      <x:c r="C33" s="33" t="n">
        <x:f>COUNTIFS('Errores'!$A$5:$A$188,A33,'Errores'!$B$5:$B$188,B33)</x:f>
        <x:v>4</x:v>
      </x:c>
      <x:c r="D33" s="34" t="n">
        <x:f>IF(C33=0,"",AVERAGEIFS('Errores'!$G$5:$G$188,'Errores'!$A$5:$A$188,A33,'Errores'!$B$5:$B$188,B33))</x:f>
        <x:v>2.0999999999999996</x:v>
      </x:c>
      <x:c r="E33" s="34" t="n">
        <x:f>IF(C33=0,"",SQRT(AVERAGEIFS('Errores'!$H$5:$H$188,'Errores'!$A$5:$A$188,A33,'Errores'!$B$5:$B$188,B33)))</x:f>
        <x:v>2.687936011143122</x:v>
      </x:c>
      <x:c r="F33" s="34" t="n">
        <x:f>IF(C33=0,"",AVERAGEIFS('Errores'!$F$5:$F$188,'Errores'!$A$5:$A$188,A33,'Errores'!$B$5:$B$188,B33))</x:f>
        <x:v>-0.9000000000000004</x:v>
      </x:c>
      <x:c r="G33" t="str">
        <x:v>% del PIB</x:v>
      </x:c>
    </x:row>
    <x:row r="34">
      <x:c r="A34" t="str">
        <x:v>Nov-2022</x:v>
      </x:c>
      <x:c r="B34" t="str">
        <x:v>Precio Petróleo Ecuador (USD/bbl)</x:v>
      </x:c>
      <x:c r="C34" s="33" t="n">
        <x:f>COUNTIFS('Errores'!$A$5:$A$188,A34,'Errores'!$B$5:$B$188,B34)</x:f>
        <x:v>4</x:v>
      </x:c>
      <x:c r="D34" s="34" t="n">
        <x:f>IF(C34=0,"",AVERAGEIFS('Errores'!$G$5:$G$188,'Errores'!$A$5:$A$188,A34,'Errores'!$B$5:$B$188,B34))</x:f>
        <x:v>6.299999999999999</x:v>
      </x:c>
      <x:c r="E34" s="34" t="n">
        <x:f>IF(C34=0,"",SQRT(AVERAGEIFS('Errores'!$H$5:$H$188,'Errores'!$A$5:$A$188,A34,'Errores'!$B$5:$B$188,B34)))</x:f>
        <x:v>7.211449230217182</x:v>
      </x:c>
      <x:c r="F34" s="34" t="n">
        <x:f>IF(C34=0,"",AVERAGEIFS('Errores'!$F$5:$F$188,'Errores'!$A$5:$A$188,A34,'Errores'!$B$5:$B$188,B34))</x:f>
        <x:v>6.299999999999999</x:v>
      </x:c>
      <x:c r="G34" t="str">
        <x:v>USD/barril</x:v>
      </x:c>
    </x:row>
    <x:row r="35">
      <x:c r="A35" t="str">
        <x:v>Nov-2022</x:v>
      </x:c>
      <x:c r="B35" t="str">
        <x:v>PIB Nominal (USD mn)</x:v>
      </x:c>
      <x:c r="C35" s="33" t="n">
        <x:f>COUNTIFS('Errores'!$A$5:$A$188,A35,'Errores'!$B$5:$B$188,B35)</x:f>
        <x:v>4</x:v>
      </x:c>
      <x:c r="D35" s="34" t="n">
        <x:f>IF(C35=0,"",AVERAGEIFS('Errores'!$G$5:$G$188,'Errores'!$A$5:$A$188,A35,'Errores'!$B$5:$B$188,B35))</x:f>
        <x:v>957.25</x:v>
      </x:c>
      <x:c r="E35" s="34" t="n">
        <x:f>IF(C35=0,"",SQRT(AVERAGEIFS('Errores'!$H$5:$H$188,'Errores'!$A$5:$A$188,A35,'Errores'!$B$5:$B$188,B35)))</x:f>
        <x:v>1236.7270313209783</x:v>
      </x:c>
      <x:c r="F35" s="34" t="n">
        <x:f>IF(C35=0,"",AVERAGEIFS('Errores'!$F$5:$F$188,'Errores'!$A$5:$A$188,A35,'Errores'!$B$5:$B$188,B35))</x:f>
        <x:v>702.25</x:v>
      </x:c>
      <x:c r="G35" t="str">
        <x:v>USD millones</x:v>
      </x:c>
    </x:row>
    <x:row r="36">
      <x:c r="A36" t="str">
        <x:v>Nov-2022</x:v>
      </x:c>
      <x:c r="B36" t="str">
        <x:v>Reservas Internacionales (USD mn)</x:v>
      </x:c>
      <x:c r="C36" s="33" t="n">
        <x:f>COUNTIFS('Errores'!$A$5:$A$188,A36,'Errores'!$B$5:$B$188,B36)</x:f>
        <x:v>4</x:v>
      </x:c>
      <x:c r="D36" s="34" t="n">
        <x:f>IF(C36=0,"",AVERAGEIFS('Errores'!$G$5:$G$188,'Errores'!$A$5:$A$188,A36,'Errores'!$B$5:$B$188,B36))</x:f>
        <x:v>5755.25</x:v>
      </x:c>
      <x:c r="E36" s="34" t="n">
        <x:f>IF(C36=0,"",SQRT(AVERAGEIFS('Errores'!$H$5:$H$188,'Errores'!$A$5:$A$188,A36,'Errores'!$B$5:$B$188,B36)))</x:f>
        <x:v>6334.316360113378</x:v>
      </x:c>
      <x:c r="F36" s="34" t="n">
        <x:f>IF(C36=0,"",AVERAGEIFS('Errores'!$F$5:$F$188,'Errores'!$A$5:$A$188,A36,'Errores'!$B$5:$B$188,B36))</x:f>
        <x:v>5755.25</x:v>
      </x:c>
      <x:c r="G36" t="str">
        <x:v>USD millones</x:v>
      </x:c>
    </x:row>
    <x:row r="37">
      <x:c r="A37" t="str">
        <x:v>Dic-2024</x:v>
      </x:c>
      <x:c r="B37" t="str">
        <x:v>Real GDP (%)</x:v>
      </x:c>
      <x:c r="C37" s="33" t="n">
        <x:f>COUNTIFS('Errores'!$A$5:$A$188,A37,'Errores'!$B$5:$B$188,B37)</x:f>
        <x:v>2</x:v>
      </x:c>
      <x:c r="D37" s="34" t="n">
        <x:f>IF(C37=0,"",AVERAGEIFS('Errores'!$G$5:$G$188,'Errores'!$A$5:$A$188,A37,'Errores'!$B$5:$B$188,B37))</x:f>
        <x:v>1.8</x:v>
      </x:c>
      <x:c r="E37" s="34" t="n">
        <x:f>IF(C37=0,"",SQRT(AVERAGEIFS('Errores'!$H$5:$H$188,'Errores'!$A$5:$A$188,A37,'Errores'!$B$5:$B$188,B37)))</x:f>
        <x:v>1.8248287590894658</x:v>
      </x:c>
      <x:c r="F37" s="34" t="n">
        <x:f>IF(C37=0,"",AVERAGEIFS('Errores'!$F$5:$F$188,'Errores'!$A$5:$A$188,A37,'Errores'!$B$5:$B$188,B37))</x:f>
        <x:v>-0.30000000000000004</x:v>
      </x:c>
      <x:c r="G37" t="str">
        <x:v>%</x:v>
      </x:c>
    </x:row>
    <x:row r="38">
      <x:c r="A38" t="str">
        <x:v>Dic-2024</x:v>
      </x:c>
      <x:c r="B38" t="str">
        <x:v>Inflación promedio (%)</x:v>
      </x:c>
      <x:c r="C38" s="33" t="n">
        <x:f>COUNTIFS('Errores'!$A$5:$A$188,A38,'Errores'!$B$5:$B$188,B38)</x:f>
        <x:v>2</x:v>
      </x:c>
      <x:c r="D38" s="34" t="n">
        <x:f>IF(C38=0,"",AVERAGEIFS('Errores'!$G$5:$G$188,'Errores'!$A$5:$A$188,A38,'Errores'!$B$5:$B$188,B38))</x:f>
        <x:v>0.9500000000000001</x:v>
      </x:c>
      <x:c r="E38" s="34" t="n">
        <x:f>IF(C38=0,"",SQRT(AVERAGEIFS('Errores'!$H$5:$H$188,'Errores'!$A$5:$A$188,A38,'Errores'!$B$5:$B$188,B38)))</x:f>
        <x:v>1.0977249200050077</x:v>
      </x:c>
      <x:c r="F38" s="34" t="n">
        <x:f>IF(C38=0,"",AVERAGEIFS('Errores'!$F$5:$F$188,'Errores'!$A$5:$A$188,A38,'Errores'!$B$5:$B$188,B38))</x:f>
        <x:v>0.9500000000000001</x:v>
      </x:c>
      <x:c r="G38" t="str">
        <x:v>%</x:v>
      </x:c>
    </x:row>
    <x:row r="39">
      <x:c r="A39" t="str">
        <x:v>Dic-2024</x:v>
      </x:c>
      <x:c r="B39" t="str">
        <x:v>Cuenta Corriente (% PIB)</x:v>
      </x:c>
      <x:c r="C39" s="33" t="n">
        <x:f>COUNTIFS('Errores'!$A$5:$A$188,A39,'Errores'!$B$5:$B$188,B39)</x:f>
        <x:v>2</x:v>
      </x:c>
      <x:c r="D39" s="34" t="n">
        <x:f>IF(C39=0,"",AVERAGEIFS('Errores'!$G$5:$G$188,'Errores'!$A$5:$A$188,A39,'Errores'!$B$5:$B$188,B39))</x:f>
        <x:v>1.9999999999999998</x:v>
      </x:c>
      <x:c r="E39" s="34" t="n">
        <x:f>IF(C39=0,"",SQRT(AVERAGEIFS('Errores'!$H$5:$H$188,'Errores'!$A$5:$A$188,A39,'Errores'!$B$5:$B$188,B39)))</x:f>
        <x:v>2.1189620100417086</x:v>
      </x:c>
      <x:c r="F39" s="34" t="n">
        <x:f>IF(C39=0,"",AVERAGEIFS('Errores'!$F$5:$F$188,'Errores'!$A$5:$A$188,A39,'Errores'!$B$5:$B$188,B39))</x:f>
        <x:v>-1.9999999999999998</x:v>
      </x:c>
      <x:c r="G39" t="str">
        <x:v>% del PIB</x:v>
      </x:c>
    </x:row>
    <x:row r="40">
      <x:c r="A40" t="str">
        <x:v>Dic-2024</x:v>
      </x:c>
      <x:c r="B40" t="str">
        <x:v>Balance Fiscal NFPS (% PIB)</x:v>
      </x:c>
      <x:c r="C40" s="33" t="n">
        <x:f>COUNTIFS('Errores'!$A$5:$A$188,A40,'Errores'!$B$5:$B$188,B40)</x:f>
        <x:v>2</x:v>
      </x:c>
      <x:c r="D40" s="34" t="n">
        <x:f>IF(C40=0,"",AVERAGEIFS('Errores'!$G$5:$G$188,'Errores'!$A$5:$A$188,A40,'Errores'!$B$5:$B$188,B40))</x:f>
        <x:v>1.0499999999999998</x:v>
      </x:c>
      <x:c r="E40" s="34" t="n">
        <x:f>IF(C40=0,"",SQRT(AVERAGEIFS('Errores'!$H$5:$H$188,'Errores'!$A$5:$A$188,A40,'Errores'!$B$5:$B$188,B40)))</x:f>
        <x:v>1.1853269591129698</x:v>
      </x:c>
      <x:c r="F40" s="34" t="n">
        <x:f>IF(C40=0,"",AVERAGEIFS('Errores'!$F$5:$F$188,'Errores'!$A$5:$A$188,A40,'Errores'!$B$5:$B$188,B40))</x:f>
        <x:v>0.5499999999999999</x:v>
      </x:c>
      <x:c r="G40" t="str">
        <x:v>% del PIB</x:v>
      </x:c>
    </x:row>
    <x:row r="41">
      <x:c r="A41" t="str">
        <x:v>Dic-2024</x:v>
      </x:c>
      <x:c r="B41" t="str">
        <x:v>Deuda Pública (% PIB)</x:v>
      </x:c>
      <x:c r="C41" s="33" t="n">
        <x:f>COUNTIFS('Errores'!$A$5:$A$188,A41,'Errores'!$B$5:$B$188,B41)</x:f>
        <x:v>2</x:v>
      </x:c>
      <x:c r="D41" s="34" t="n">
        <x:f>IF(C41=0,"",AVERAGEIFS('Errores'!$G$5:$G$188,'Errores'!$A$5:$A$188,A41,'Errores'!$B$5:$B$188,B41))</x:f>
        <x:v>2.599999999999998</x:v>
      </x:c>
      <x:c r="E41" s="34" t="n">
        <x:f>IF(C41=0,"",SQRT(AVERAGEIFS('Errores'!$H$5:$H$188,'Errores'!$A$5:$A$188,A41,'Errores'!$B$5:$B$188,B41)))</x:f>
        <x:v>2.6019223662515354</x:v>
      </x:c>
      <x:c r="F41" s="34" t="n">
        <x:f>IF(C41=0,"",AVERAGEIFS('Errores'!$F$5:$F$188,'Errores'!$A$5:$A$188,A41,'Errores'!$B$5:$B$188,B41))</x:f>
        <x:v>2.599999999999998</x:v>
      </x:c>
      <x:c r="G41" t="str">
        <x:v>% del PIB</x:v>
      </x:c>
    </x:row>
    <x:row r="42">
      <x:c r="A42" t="str">
        <x:v>Dic-2024</x:v>
      </x:c>
      <x:c r="B42" t="str">
        <x:v>Precio Petróleo Ecuador (USD/bbl)</x:v>
      </x:c>
      <x:c r="C42" s="33" t="n">
        <x:f>COUNTIFS('Errores'!$A$5:$A$188,A42,'Errores'!$B$5:$B$188,B42)</x:f>
        <x:v>2</x:v>
      </x:c>
      <x:c r="D42" s="34" t="n">
        <x:f>IF(C42=0,"",AVERAGEIFS('Errores'!$G$5:$G$188,'Errores'!$A$5:$A$188,A42,'Errores'!$B$5:$B$188,B42))</x:f>
        <x:v>2.3000000000000007</x:v>
      </x:c>
      <x:c r="E42" s="34" t="n">
        <x:f>IF(C42=0,"",SQRT(AVERAGEIFS('Errores'!$H$5:$H$188,'Errores'!$A$5:$A$188,A42,'Errores'!$B$5:$B$188,B42)))</x:f>
        <x:v>3.2526911934581197</x:v>
      </x:c>
      <x:c r="F42" s="34" t="n">
        <x:f>IF(C42=0,"",AVERAGEIFS('Errores'!$F$5:$F$188,'Errores'!$A$5:$A$188,A42,'Errores'!$B$5:$B$188,B42))</x:f>
        <x:v>2.3000000000000007</x:v>
      </x:c>
      <x:c r="G42" t="str">
        <x:v>USD/barril</x:v>
      </x:c>
    </x:row>
    <x:row r="43">
      <x:c r="A43" t="str">
        <x:v>Dic-2024</x:v>
      </x:c>
      <x:c r="B43" t="str">
        <x:v>PIB Nominal (USD mn)</x:v>
      </x:c>
      <x:c r="C43" s="33" t="n">
        <x:f>COUNTIFS('Errores'!$A$5:$A$188,A43,'Errores'!$B$5:$B$188,B43)</x:f>
        <x:v>2</x:v>
      </x:c>
      <x:c r="D43" s="34" t="n">
        <x:f>IF(C43=0,"",AVERAGEIFS('Errores'!$G$5:$G$188,'Errores'!$A$5:$A$188,A43,'Errores'!$B$5:$B$188,B43))</x:f>
        <x:v>4326</x:v>
      </x:c>
      <x:c r="E43" s="34" t="n">
        <x:f>IF(C43=0,"",SQRT(AVERAGEIFS('Errores'!$H$5:$H$188,'Errores'!$A$5:$A$188,A43,'Errores'!$B$5:$B$188,B43)))</x:f>
        <x:v>4430.589689871993</x:v>
      </x:c>
      <x:c r="F43" s="34" t="n">
        <x:f>IF(C43=0,"",AVERAGEIFS('Errores'!$F$5:$F$188,'Errores'!$A$5:$A$188,A43,'Errores'!$B$5:$B$188,B43))</x:f>
        <x:v>-4326</x:v>
      </x:c>
      <x:c r="G43" t="str">
        <x:v>USD millones</x:v>
      </x:c>
    </x:row>
    <x:row r="44">
      <x:c r="A44" t="str">
        <x:v>Dic-2024</x:v>
      </x:c>
      <x:c r="B44" t="str">
        <x:v>Reservas Internacionales (USD mn)</x:v>
      </x:c>
      <x:c r="C44" s="33" t="n">
        <x:f>COUNTIFS('Errores'!$A$5:$A$188,A44,'Errores'!$B$5:$B$188,B44)</x:f>
        <x:v>2</x:v>
      </x:c>
      <x:c r="D44" s="34" t="n">
        <x:f>IF(C44=0,"",AVERAGEIFS('Errores'!$G$5:$G$188,'Errores'!$A$5:$A$188,A44,'Errores'!$B$5:$B$188,B44))</x:f>
        <x:v>740.5</x:v>
      </x:c>
      <x:c r="E44" s="34" t="n">
        <x:f>IF(C44=0,"",SQRT(AVERAGEIFS('Errores'!$H$5:$H$188,'Errores'!$A$5:$A$188,A44,'Errores'!$B$5:$B$188,B44)))</x:f>
        <x:v>740.5001688048424</x:v>
      </x:c>
      <x:c r="F44" s="34" t="n">
        <x:f>IF(C44=0,"",AVERAGEIFS('Errores'!$F$5:$F$188,'Errores'!$A$5:$A$188,A44,'Errores'!$B$5:$B$188,B44))</x:f>
        <x:v>740.5</x:v>
      </x:c>
      <x:c r="G44" t="str">
        <x:v>USD millones</x:v>
      </x:c>
    </x:row>
    <x:row r="45">
      <x:c r="A45" t="str">
        <x:v>Dic-2025</x:v>
      </x:c>
      <x:c r="B45" t="str">
        <x:v>Real GDP (%)</x:v>
      </x:c>
      <x:c r="C45" s="33" t="n">
        <x:f>COUNTIFS('Errores'!$A$5:$A$188,A45,'Errores'!$B$5:$B$188,B45)</x:f>
        <x:v>1</x:v>
      </x:c>
      <x:c r="D45" s="34" t="n">
        <x:f>IF(C45=0,"",AVERAGEIFS('Errores'!$G$5:$G$188,'Errores'!$A$5:$A$188,A45,'Errores'!$B$5:$B$188,B45))</x:f>
        <x:v>0.30000000000000027</x:v>
      </x:c>
      <x:c r="E45" s="34" t="n">
        <x:f>IF(C45=0,"",SQRT(AVERAGEIFS('Errores'!$H$5:$H$188,'Errores'!$A$5:$A$188,A45,'Errores'!$B$5:$B$188,B45)))</x:f>
        <x:v>0.30000000000000027</x:v>
      </x:c>
      <x:c r="F45" s="34" t="n">
        <x:f>IF(C45=0,"",AVERAGEIFS('Errores'!$F$5:$F$188,'Errores'!$A$5:$A$188,A45,'Errores'!$B$5:$B$188,B45))</x:f>
        <x:v>-0.30000000000000027</x:v>
      </x:c>
      <x:c r="G45" t="str">
        <x:v>%</x:v>
      </x:c>
    </x:row>
    <x:row r="46">
      <x:c r="A46" t="str">
        <x:v>Dic-2025</x:v>
      </x:c>
      <x:c r="B46" t="str">
        <x:v>Inflación promedio (%)</x:v>
      </x:c>
      <x:c r="C46" s="33" t="n">
        <x:f>COUNTIFS('Errores'!$A$5:$A$188,A46,'Errores'!$B$5:$B$188,B46)</x:f>
        <x:v>1</x:v>
      </x:c>
      <x:c r="D46" s="34" t="n">
        <x:f>IF(C46=0,"",AVERAGEIFS('Errores'!$G$5:$G$188,'Errores'!$A$5:$A$188,A46,'Errores'!$B$5:$B$188,B46))</x:f>
        <x:v>0.20000000000000007</x:v>
      </x:c>
      <x:c r="E46" s="34" t="n">
        <x:f>IF(C46=0,"",SQRT(AVERAGEIFS('Errores'!$H$5:$H$188,'Errores'!$A$5:$A$188,A46,'Errores'!$B$5:$B$188,B46)))</x:f>
        <x:v>0.20000000000000007</x:v>
      </x:c>
      <x:c r="F46" s="34" t="n">
        <x:f>IF(C46=0,"",AVERAGEIFS('Errores'!$F$5:$F$188,'Errores'!$A$5:$A$188,A46,'Errores'!$B$5:$B$188,B46))</x:f>
        <x:v>0.20000000000000007</x:v>
      </x:c>
      <x:c r="G46" t="str">
        <x:v>%</x:v>
      </x:c>
    </x:row>
    <x:row r="47">
      <x:c r="A47" t="str">
        <x:v>Dic-2025</x:v>
      </x:c>
      <x:c r="B47" t="str">
        <x:v>Cuenta Corriente (% PIB)</x:v>
      </x:c>
      <x:c r="C47" s="33" t="n">
        <x:f>COUNTIFS('Errores'!$A$5:$A$188,A47,'Errores'!$B$5:$B$188,B47)</x:f>
        <x:v>1</x:v>
      </x:c>
      <x:c r="D47" s="34" t="n">
        <x:f>IF(C47=0,"",AVERAGEIFS('Errores'!$G$5:$G$188,'Errores'!$A$5:$A$188,A47,'Errores'!$B$5:$B$188,B47))</x:f>
        <x:v>0.7000000000000002</x:v>
      </x:c>
      <x:c r="E47" s="34" t="n">
        <x:f>IF(C47=0,"",SQRT(AVERAGEIFS('Errores'!$H$5:$H$188,'Errores'!$A$5:$A$188,A47,'Errores'!$B$5:$B$188,B47)))</x:f>
        <x:v>0.7000000000000002</x:v>
      </x:c>
      <x:c r="F47" s="34" t="n">
        <x:f>IF(C47=0,"",AVERAGEIFS('Errores'!$F$5:$F$188,'Errores'!$A$5:$A$188,A47,'Errores'!$B$5:$B$188,B47))</x:f>
        <x:v>-0.7000000000000002</x:v>
      </x:c>
      <x:c r="G47" t="str">
        <x:v>% del PIB</x:v>
      </x:c>
    </x:row>
    <x:row r="48">
      <x:c r="A48" t="str">
        <x:v>Dic-2025</x:v>
      </x:c>
      <x:c r="B48" t="str">
        <x:v>Balance Fiscal NFPS (% PIB)</x:v>
      </x:c>
      <x:c r="C48" s="33" t="n">
        <x:f>COUNTIFS('Errores'!$A$5:$A$188,A48,'Errores'!$B$5:$B$188,B48)</x:f>
        <x:v>1</x:v>
      </x:c>
      <x:c r="D48" s="34" t="n">
        <x:f>IF(C48=0,"",AVERAGEIFS('Errores'!$G$5:$G$188,'Errores'!$A$5:$A$188,A48,'Errores'!$B$5:$B$188,B48))</x:f>
        <x:v>1.7</x:v>
      </x:c>
      <x:c r="E48" s="34" t="n">
        <x:f>IF(C48=0,"",SQRT(AVERAGEIFS('Errores'!$H$5:$H$188,'Errores'!$A$5:$A$188,A48,'Errores'!$B$5:$B$188,B48)))</x:f>
        <x:v>1.7</x:v>
      </x:c>
      <x:c r="F48" s="34" t="n">
        <x:f>IF(C48=0,"",AVERAGEIFS('Errores'!$F$5:$F$188,'Errores'!$A$5:$A$188,A48,'Errores'!$B$5:$B$188,B48))</x:f>
        <x:v>1.7</x:v>
      </x:c>
      <x:c r="G48" t="str">
        <x:v>% del PIB</x:v>
      </x:c>
    </x:row>
    <x:row r="49">
      <x:c r="A49" t="str">
        <x:v>Dic-2025</x:v>
      </x:c>
      <x:c r="B49" t="str">
        <x:v>Deuda Pública (% PIB)</x:v>
      </x:c>
      <x:c r="C49" s="33" t="n">
        <x:f>COUNTIFS('Errores'!$A$5:$A$188,A49,'Errores'!$B$5:$B$188,B49)</x:f>
        <x:v>1</x:v>
      </x:c>
      <x:c r="D49" s="34" t="n">
        <x:f>IF(C49=0,"",AVERAGEIFS('Errores'!$G$5:$G$188,'Errores'!$A$5:$A$188,A49,'Errores'!$B$5:$B$188,B49))</x:f>
        <x:v>1.0999999999999943</x:v>
      </x:c>
      <x:c r="E49" s="34" t="n">
        <x:f>IF(C49=0,"",SQRT(AVERAGEIFS('Errores'!$H$5:$H$188,'Errores'!$A$5:$A$188,A49,'Errores'!$B$5:$B$188,B49)))</x:f>
        <x:v>1.0999999999999943</x:v>
      </x:c>
      <x:c r="F49" s="34" t="n">
        <x:f>IF(C49=0,"",AVERAGEIFS('Errores'!$F$5:$F$188,'Errores'!$A$5:$A$188,A49,'Errores'!$B$5:$B$188,B49))</x:f>
        <x:v>-1.0999999999999943</x:v>
      </x:c>
      <x:c r="G49" t="str">
        <x:v>% del PIB</x:v>
      </x:c>
    </x:row>
    <x:row r="50">
      <x:c r="A50" t="str">
        <x:v>Dic-2025</x:v>
      </x:c>
      <x:c r="B50" t="str">
        <x:v>Precio Petróleo Ecuador (USD/bbl)</x:v>
      </x:c>
      <x:c r="C50" s="33" t="n">
        <x:f>COUNTIFS('Errores'!$A$5:$A$188,A50,'Errores'!$B$5:$B$188,B50)</x:f>
        <x:v>1</x:v>
      </x:c>
      <x:c r="D50" s="34" t="n">
        <x:f>IF(C50=0,"",AVERAGEIFS('Errores'!$G$5:$G$188,'Errores'!$A$5:$A$188,A50,'Errores'!$B$5:$B$188,B50))</x:f>
        <x:v>0.29999999999999716</x:v>
      </x:c>
      <x:c r="E50" s="34" t="n">
        <x:f>IF(C50=0,"",SQRT(AVERAGEIFS('Errores'!$H$5:$H$188,'Errores'!$A$5:$A$188,A50,'Errores'!$B$5:$B$188,B50)))</x:f>
        <x:v>0.29999999999999716</x:v>
      </x:c>
      <x:c r="F50" s="34" t="n">
        <x:f>IF(C50=0,"",AVERAGEIFS('Errores'!$F$5:$F$188,'Errores'!$A$5:$A$188,A50,'Errores'!$B$5:$B$188,B50))</x:f>
        <x:v>0.29999999999999716</x:v>
      </x:c>
      <x:c r="G50" t="str">
        <x:v>USD/barril</x:v>
      </x:c>
    </x:row>
    <x:row r="51">
      <x:c r="A51" t="str">
        <x:v>Dic-2025</x:v>
      </x:c>
      <x:c r="B51" t="str">
        <x:v>PIB Nominal (USD mn)</x:v>
      </x:c>
      <x:c r="C51" s="33" t="n">
        <x:f>COUNTIFS('Errores'!$A$5:$A$188,A51,'Errores'!$B$5:$B$188,B51)</x:f>
        <x:v>1</x:v>
      </x:c>
      <x:c r="D51" s="34" t="n">
        <x:f>IF(C51=0,"",AVERAGEIFS('Errores'!$G$5:$G$188,'Errores'!$A$5:$A$188,A51,'Errores'!$B$5:$B$188,B51))</x:f>
        <x:v>227</x:v>
      </x:c>
      <x:c r="E51" s="34" t="n">
        <x:f>IF(C51=0,"",SQRT(AVERAGEIFS('Errores'!$H$5:$H$188,'Errores'!$A$5:$A$188,A51,'Errores'!$B$5:$B$188,B51)))</x:f>
        <x:v>227</x:v>
      </x:c>
      <x:c r="F51" s="34" t="n">
        <x:f>IF(C51=0,"",AVERAGEIFS('Errores'!$F$5:$F$188,'Errores'!$A$5:$A$188,A51,'Errores'!$B$5:$B$188,B51))</x:f>
        <x:v>227</x:v>
      </x:c>
      <x:c r="G51" t="str">
        <x:v>USD millones</x:v>
      </x:c>
    </x:row>
    <x:row r="52">
      <x:c r="A52" t="str">
        <x:v>Dic-2025</x:v>
      </x:c>
      <x:c r="B52" t="str">
        <x:v>Reservas Internacionales (USD mn)</x:v>
      </x:c>
      <x:c r="C52" s="33" t="n">
        <x:f>COUNTIFS('Errores'!$A$5:$A$188,A52,'Errores'!$B$5:$B$188,B52)</x:f>
        <x:v>1</x:v>
      </x:c>
      <x:c r="D52" s="34" t="n">
        <x:f>IF(C52=0,"",AVERAGEIFS('Errores'!$G$5:$G$188,'Errores'!$A$5:$A$188,A52,'Errores'!$B$5:$B$188,B52))</x:f>
        <x:v>487</x:v>
      </x:c>
      <x:c r="E52" s="34" t="n">
        <x:f>IF(C52=0,"",SQRT(AVERAGEIFS('Errores'!$H$5:$H$188,'Errores'!$A$5:$A$188,A52,'Errores'!$B$5:$B$188,B52)))</x:f>
        <x:v>487</x:v>
      </x:c>
      <x:c r="F52" s="34" t="n">
        <x:f>IF(C52=0,"",AVERAGEIFS('Errores'!$F$5:$F$188,'Errores'!$A$5:$A$188,A52,'Errores'!$B$5:$B$188,B52))</x:f>
        <x:v>487</x:v>
      </x:c>
      <x:c r="G52" t="str">
        <x:v>USD millones</x:v>
      </x:c>
    </x:row>
    <x:row r="53">
      <x:c r="A53" t="str">
        <x:v>Abr-2026</x:v>
      </x:c>
      <x:c r="B53" t="str">
        <x:v>Real GDP (%)</x:v>
      </x:c>
      <x:c r="C53" s="33" t="n">
        <x:f>COUNTIFS('Errores'!$A$5:$A$188,A53,'Errores'!$B$5:$B$188,B53)</x:f>
        <x:v>0</x:v>
      </x:c>
      <x:c r="D53" s="34" t="str">
        <x:f>IF(C53=0,"",AVERAGEIFS('Errores'!$G$5:$G$188,'Errores'!$A$5:$A$188,A53,'Errores'!$B$5:$B$188,B53))</x:f>
      </x:c>
      <x:c r="E53" s="34" t="str">
        <x:f>IF(C53=0,"",SQRT(AVERAGEIFS('Errores'!$H$5:$H$188,'Errores'!$A$5:$A$188,A53,'Errores'!$B$5:$B$188,B53)))</x:f>
      </x:c>
      <x:c r="F53" s="34" t="str">
        <x:f>IF(C53=0,"",AVERAGEIFS('Errores'!$F$5:$F$188,'Errores'!$A$5:$A$188,A53,'Errores'!$B$5:$B$188,B53))</x:f>
      </x:c>
      <x:c r="G53" t="str">
        <x:v>%</x:v>
      </x:c>
    </x:row>
    <x:row r="54">
      <x:c r="A54" t="str">
        <x:v>Abr-2026</x:v>
      </x:c>
      <x:c r="B54" t="str">
        <x:v>Inflación promedio (%)</x:v>
      </x:c>
      <x:c r="C54" s="33" t="n">
        <x:f>COUNTIFS('Errores'!$A$5:$A$188,A54,'Errores'!$B$5:$B$188,B54)</x:f>
        <x:v>0</x:v>
      </x:c>
      <x:c r="D54" s="34" t="str">
        <x:f>IF(C54=0,"",AVERAGEIFS('Errores'!$G$5:$G$188,'Errores'!$A$5:$A$188,A54,'Errores'!$B$5:$B$188,B54))</x:f>
      </x:c>
      <x:c r="E54" s="34" t="str">
        <x:f>IF(C54=0,"",SQRT(AVERAGEIFS('Errores'!$H$5:$H$188,'Errores'!$A$5:$A$188,A54,'Errores'!$B$5:$B$188,B54)))</x:f>
      </x:c>
      <x:c r="F54" s="34" t="str">
        <x:f>IF(C54=0,"",AVERAGEIFS('Errores'!$F$5:$F$188,'Errores'!$A$5:$A$188,A54,'Errores'!$B$5:$B$188,B54))</x:f>
      </x:c>
      <x:c r="G54" t="str">
        <x:v>%</x:v>
      </x:c>
    </x:row>
    <x:row r="55">
      <x:c r="A55" t="str">
        <x:v>Abr-2026</x:v>
      </x:c>
      <x:c r="B55" t="str">
        <x:v>Cuenta Corriente (% PIB)</x:v>
      </x:c>
      <x:c r="C55" s="33" t="n">
        <x:f>COUNTIFS('Errores'!$A$5:$A$188,A55,'Errores'!$B$5:$B$188,B55)</x:f>
        <x:v>0</x:v>
      </x:c>
      <x:c r="D55" s="34" t="str">
        <x:f>IF(C55=0,"",AVERAGEIFS('Errores'!$G$5:$G$188,'Errores'!$A$5:$A$188,A55,'Errores'!$B$5:$B$188,B55))</x:f>
      </x:c>
      <x:c r="E55" s="34" t="str">
        <x:f>IF(C55=0,"",SQRT(AVERAGEIFS('Errores'!$H$5:$H$188,'Errores'!$A$5:$A$188,A55,'Errores'!$B$5:$B$188,B55)))</x:f>
      </x:c>
      <x:c r="F55" s="34" t="str">
        <x:f>IF(C55=0,"",AVERAGEIFS('Errores'!$F$5:$F$188,'Errores'!$A$5:$A$188,A55,'Errores'!$B$5:$B$188,B55))</x:f>
      </x:c>
      <x:c r="G55" t="str">
        <x:v>% del PIB</x:v>
      </x:c>
    </x:row>
    <x:row r="56">
      <x:c r="A56" t="str">
        <x:v>Abr-2026</x:v>
      </x:c>
      <x:c r="B56" t="str">
        <x:v>Balance Fiscal NFPS (% PIB)</x:v>
      </x:c>
      <x:c r="C56" s="33" t="n">
        <x:f>COUNTIFS('Errores'!$A$5:$A$188,A56,'Errores'!$B$5:$B$188,B56)</x:f>
        <x:v>0</x:v>
      </x:c>
      <x:c r="D56" s="34" t="str">
        <x:f>IF(C56=0,"",AVERAGEIFS('Errores'!$G$5:$G$188,'Errores'!$A$5:$A$188,A56,'Errores'!$B$5:$B$188,B56))</x:f>
      </x:c>
      <x:c r="E56" s="34" t="str">
        <x:f>IF(C56=0,"",SQRT(AVERAGEIFS('Errores'!$H$5:$H$188,'Errores'!$A$5:$A$188,A56,'Errores'!$B$5:$B$188,B56)))</x:f>
      </x:c>
      <x:c r="F56" s="34" t="str">
        <x:f>IF(C56=0,"",AVERAGEIFS('Errores'!$F$5:$F$188,'Errores'!$A$5:$A$188,A56,'Errores'!$B$5:$B$188,B56))</x:f>
      </x:c>
      <x:c r="G56" t="str">
        <x:v>% del PIB</x:v>
      </x:c>
    </x:row>
    <x:row r="57">
      <x:c r="A57" t="str">
        <x:v>Abr-2026</x:v>
      </x:c>
      <x:c r="B57" t="str">
        <x:v>Deuda Pública (% PIB)</x:v>
      </x:c>
      <x:c r="C57" s="33" t="n">
        <x:f>COUNTIFS('Errores'!$A$5:$A$188,A57,'Errores'!$B$5:$B$188,B57)</x:f>
        <x:v>0</x:v>
      </x:c>
      <x:c r="D57" s="34" t="str">
        <x:f>IF(C57=0,"",AVERAGEIFS('Errores'!$G$5:$G$188,'Errores'!$A$5:$A$188,A57,'Errores'!$B$5:$B$188,B57))</x:f>
      </x:c>
      <x:c r="E57" s="34" t="str">
        <x:f>IF(C57=0,"",SQRT(AVERAGEIFS('Errores'!$H$5:$H$188,'Errores'!$A$5:$A$188,A57,'Errores'!$B$5:$B$188,B57)))</x:f>
      </x:c>
      <x:c r="F57" s="34" t="str">
        <x:f>IF(C57=0,"",AVERAGEIFS('Errores'!$F$5:$F$188,'Errores'!$A$5:$A$188,A57,'Errores'!$B$5:$B$188,B57))</x:f>
      </x:c>
      <x:c r="G57" t="str">
        <x:v>% del PIB</x:v>
      </x:c>
    </x:row>
    <x:row r="58">
      <x:c r="A58" t="str">
        <x:v>Abr-2026</x:v>
      </x:c>
      <x:c r="B58" t="str">
        <x:v>Precio Petróleo Ecuador (USD/bbl)</x:v>
      </x:c>
      <x:c r="C58" s="33" t="n">
        <x:f>COUNTIFS('Errores'!$A$5:$A$188,A58,'Errores'!$B$5:$B$188,B58)</x:f>
        <x:v>0</x:v>
      </x:c>
      <x:c r="D58" s="34" t="str">
        <x:f>IF(C58=0,"",AVERAGEIFS('Errores'!$G$5:$G$188,'Errores'!$A$5:$A$188,A58,'Errores'!$B$5:$B$188,B58))</x:f>
      </x:c>
      <x:c r="E58" s="34" t="str">
        <x:f>IF(C58=0,"",SQRT(AVERAGEIFS('Errores'!$H$5:$H$188,'Errores'!$A$5:$A$188,A58,'Errores'!$B$5:$B$188,B58)))</x:f>
      </x:c>
      <x:c r="F58" s="34" t="str">
        <x:f>IF(C58=0,"",AVERAGEIFS('Errores'!$F$5:$F$188,'Errores'!$A$5:$A$188,A58,'Errores'!$B$5:$B$188,B58))</x:f>
      </x:c>
      <x:c r="G58" t="str">
        <x:v>USD/barril</x:v>
      </x:c>
    </x:row>
    <x:row r="59">
      <x:c r="A59" t="str">
        <x:v>Abr-2026</x:v>
      </x:c>
      <x:c r="B59" t="str">
        <x:v>PIB Nominal (USD mn)</x:v>
      </x:c>
      <x:c r="C59" s="33" t="n">
        <x:f>COUNTIFS('Errores'!$A$5:$A$188,A59,'Errores'!$B$5:$B$188,B59)</x:f>
        <x:v>0</x:v>
      </x:c>
      <x:c r="D59" s="34" t="str">
        <x:f>IF(C59=0,"",AVERAGEIFS('Errores'!$G$5:$G$188,'Errores'!$A$5:$A$188,A59,'Errores'!$B$5:$B$188,B59))</x:f>
      </x:c>
      <x:c r="E59" s="34" t="str">
        <x:f>IF(C59=0,"",SQRT(AVERAGEIFS('Errores'!$H$5:$H$188,'Errores'!$A$5:$A$188,A59,'Errores'!$B$5:$B$188,B59)))</x:f>
      </x:c>
      <x:c r="F59" s="34" t="str">
        <x:f>IF(C59=0,"",AVERAGEIFS('Errores'!$F$5:$F$188,'Errores'!$A$5:$A$188,A59,'Errores'!$B$5:$B$188,B59))</x:f>
      </x:c>
      <x:c r="G59" t="str">
        <x:v>USD millones</x:v>
      </x:c>
    </x:row>
    <x:row r="60">
      <x:c r="A60" t="str">
        <x:v>Abr-2026</x:v>
      </x:c>
      <x:c r="B60" t="str">
        <x:v>Reservas Internacionales (USD mn)</x:v>
      </x:c>
      <x:c r="C60" s="33" t="n">
        <x:f>COUNTIFS('Errores'!$A$5:$A$188,A60,'Errores'!$B$5:$B$188,B60)</x:f>
        <x:v>0</x:v>
      </x:c>
      <x:c r="D60" s="34" t="str">
        <x:f>IF(C60=0,"",AVERAGEIFS('Errores'!$G$5:$G$188,'Errores'!$A$5:$A$188,A60,'Errores'!$B$5:$B$188,B60))</x:f>
      </x:c>
      <x:c r="E60" s="34" t="str">
        <x:f>IF(C60=0,"",SQRT(AVERAGEIFS('Errores'!$H$5:$H$188,'Errores'!$A$5:$A$188,A60,'Errores'!$B$5:$B$188,B60)))</x:f>
      </x:c>
      <x:c r="F60" s="34" t="str">
        <x:f>IF(C60=0,"",AVERAGEIFS('Errores'!$F$5:$F$188,'Errores'!$A$5:$A$188,A60,'Errores'!$B$5:$B$188,B60))</x:f>
      </x:c>
      <x:c r="G60" t="str">
        <x:v>USD millones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671260e8fa446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22" hidden="0" customWidth="1"/>
    <x:col min="4" max="4" width="22" hidden="0" customWidth="1"/>
    <x:col min="5" max="5" width="68" hidden="0" customWidth="1"/>
    <x:col min="6" max="6" width="24" hidden="0" customWidth="1"/>
    <x:col min="7" max="7" width="24" hidden="0" customWidth="1"/>
  </x:cols>
  <x:sheetData>
    <x:row r="1" ht="34" customHeight="1">
      <x:c r="A1" s="3" t="str">
        <x:v>Fuentes y trazabilidad</x:v>
      </x:c>
      <x:c r="B1" s="3"/>
      <x:c r="C1" s="3"/>
      <x:c r="D1" s="3"/>
      <x:c r="E1" s="3"/>
      <x:c r="F1" s="3"/>
      <x:c r="G1" s="3"/>
    </x:row>
    <x:row r="2" ht="24" customHeight="1">
      <x:c r="A2" s="6" t="str">
        <x:v>Las series históricas/estimadas usan la columna corriente del informe más reciente que cubre cada año. Las columnas comparativas rotuladas con un Country Report anterior se conservan únicamente como vintage de pronóstico.</x:v>
      </x:c>
      <x:c r="B2" s="6"/>
      <x:c r="C2" s="6"/>
      <x:c r="D2" s="6"/>
      <x:c r="E2" s="6"/>
      <x:c r="F2" s="6"/>
      <x:c r="G2" s="6"/>
    </x:row>
    <x:row r="4" ht="22" customHeight="1">
      <x:c r="A4" s="11" t="str">
        <x:v>Vintage</x:v>
      </x:c>
      <x:c r="B4" s="16" t="str">
        <x:v>Country Report</x:v>
      </x:c>
      <x:c r="C4" s="16" t="str">
        <x:v>Fecha</x:v>
      </x:c>
      <x:c r="D4" s="16" t="str">
        <x:v>Archivo</x:v>
      </x:c>
      <x:c r="E4" s="16" t="str">
        <x:v>SHA-256</x:v>
      </x:c>
      <x:c r="F4" s="16" t="str">
        <x:v>Años históricos/estimados</x:v>
      </x:c>
      <x:c r="G4" s="12" t="str">
        <x:v>Página Table 1</x:v>
      </x:c>
    </x:row>
    <x:row r="5">
      <x:c r="A5" t="str">
        <x:v>Mar-2019</x:v>
      </x:c>
      <x:c r="B5" t="str">
        <x:v>IMF Country Report No. 19/79</x:v>
      </x:c>
      <x:c r="C5" t="str">
        <x:v>2019-03</x:v>
      </x:c>
      <x:c r="D5" t="str">
        <x:v>data/1ecuea2019001.pdf</x:v>
      </x:c>
      <x:c r="E5" t="str">
        <x:v>08c010380aece78b7095fb3c4206ef0ed84ac749de8c95289431cfd994f57049</x:v>
      </x:c>
      <x:c r="F5" t="str">
        <x:v>2014, 2015, 2016, 2017</x:v>
      </x:c>
      <x:c r="G5" t="str"/>
    </x:row>
    <x:row r="6">
      <x:c r="A6" t="str">
        <x:v>Dic-2020</x:v>
      </x:c>
      <x:c r="B6" t="str">
        <x:v>IMF Country Report No. 20/325</x:v>
      </x:c>
      <x:c r="C6" t="str">
        <x:v>2020-12</x:v>
      </x:c>
      <x:c r="D6" t="str">
        <x:v>data/1ecuea2020003.pdf</x:v>
      </x:c>
      <x:c r="E6" t="str">
        <x:v>ece9acddcd7c67519a1c29428e3aa5a91139ddf6b9dc9cc246ff720d0c0a1706</x:v>
      </x:c>
      <x:c r="F6" t="str"/>
      <x:c r="G6" t="str"/>
    </x:row>
    <x:row r="7">
      <x:c r="A7" t="str">
        <x:v>Oct-2021</x:v>
      </x:c>
      <x:c r="B7" t="str">
        <x:v>IMF Country Report No. 21/228</x:v>
      </x:c>
      <x:c r="C7" t="str">
        <x:v>2021-10</x:v>
      </x:c>
      <x:c r="D7" t="str">
        <x:v>data/1ecuea2021001.pdf</x:v>
      </x:c>
      <x:c r="E7" t="str">
        <x:v>3182a8b79685d5f2138bdd80048cfd6689dd95a51ed573d43a0fd99d1026736b</x:v>
      </x:c>
      <x:c r="F7" t="str">
        <x:v>2018, 2019</x:v>
      </x:c>
      <x:c r="G7" t="str"/>
    </x:row>
    <x:row r="8">
      <x:c r="A8" t="str">
        <x:v>Nov-2022</x:v>
      </x:c>
      <x:c r="B8" t="str">
        <x:v>IMF Country Report No. 22/378</x:v>
      </x:c>
      <x:c r="C8" t="str">
        <x:v>2022-11</x:v>
      </x:c>
      <x:c r="D8" t="str">
        <x:v>data/1ecuea2022002.pdf</x:v>
      </x:c>
      <x:c r="E8" t="str">
        <x:v>0784c25425cd88138ac73590a0748580164928a852b2c667d61f49d42f8dc86a</x:v>
      </x:c>
      <x:c r="F8" t="str">
        <x:v>2020, 2021</x:v>
      </x:c>
      <x:c r="G8" t="str"/>
    </x:row>
    <x:row r="9">
      <x:c r="A9" t="str">
        <x:v>Dic-2024</x:v>
      </x:c>
      <x:c r="B9" t="str">
        <x:v>IMF Country Report No. 24/357</x:v>
      </x:c>
      <x:c r="C9" t="str">
        <x:v>2024-12</x:v>
      </x:c>
      <x:c r="D9" t="str">
        <x:v>data/1ecuea2024002.pdf</x:v>
      </x:c>
      <x:c r="E9" t="str">
        <x:v>2a403e2e66a25ccaf7ac3574dffa7d9f8a0168cd4ceeb54d438a12f356af9ee5</x:v>
      </x:c>
      <x:c r="F9" t="str">
        <x:v>2022</x:v>
      </x:c>
      <x:c r="G9" t="str"/>
    </x:row>
    <x:row r="10">
      <x:c r="A10" t="str">
        <x:v>Dic-2025</x:v>
      </x:c>
      <x:c r="B10" t="str">
        <x:v>IMF Country Report No. 25/341</x:v>
      </x:c>
      <x:c r="C10" t="str">
        <x:v>2025-12</x:v>
      </x:c>
      <x:c r="D10" t="str">
        <x:v>data/1ecuea2025003.pdf</x:v>
      </x:c>
      <x:c r="E10" t="str">
        <x:v>40b7874578665fd67da24e0180abba8d4f9d458d899fb8bc02603149d5154393</x:v>
      </x:c>
      <x:c r="F10" t="str"/>
      <x:c r="G10" t="str"/>
    </x:row>
    <x:row r="11">
      <x:c r="A11" t="str">
        <x:v>Abr-2026</x:v>
      </x:c>
      <x:c r="B11" t="str">
        <x:v>IMF Country Report No. 26/84</x:v>
      </x:c>
      <x:c r="C11" t="str">
        <x:v>2026-04</x:v>
      </x:c>
      <x:c r="D11" t="str">
        <x:v>data/1ecuea2026001.pdf</x:v>
      </x:c>
      <x:c r="E11" t="str">
        <x:v>d659676983112e1f381948063a7a79169e42f958ed6b8ec7425c123d14822fbe</x:v>
      </x:c>
      <x:c r="F11" t="str">
        <x:v>2023, 2024, 2025</x:v>
      </x:c>
      <x:c r="G11" t="n">
        <x:v>36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3f287dbe57445c1"/>
  </x:tableParts>
</x:worksheet>
</file>